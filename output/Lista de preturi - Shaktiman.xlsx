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prețuri" sheetId="1" state="visible" r:id="rId1"/>
    <sheet xmlns:r="http://schemas.openxmlformats.org/officeDocument/2006/relationships" name="Ofertă comercială" sheetId="2" state="visible" r:id="rId2"/>
    <sheet xmlns:r="http://schemas.openxmlformats.org/officeDocument/2006/relationships" name="Instrucțiuni" sheetId="3" state="visible" r:id="rId3"/>
    <sheet xmlns:r="http://schemas.openxmlformats.org/officeDocument/2006/relationships" name="Catalog" sheetId="4" state="hidden" r:id="rId4"/>
  </sheets>
  <definedNames>
    <definedName name="Curs">'Lista de prețuri'!$F$3</definedName>
    <definedName name="CotaTVA">'Ofertă comercială'!$F$9</definedName>
    <definedName name="_xlnm.Print_Titles" localSheetId="0">'Lista de prețuri'!$4:$4</definedName>
    <definedName name="_xlnm.Print_Area" localSheetId="1">'Ofertă comercială'!$A$1:$H$50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€&quot;"/>
    <numFmt numFmtId="165" formatCode="#,##0 &quot;lei&quot;"/>
    <numFmt numFmtId="166" formatCode="DD.MM.YYYY"/>
  </numFmts>
  <fonts count="23">
    <font>
      <name val="Calibri"/>
      <family val="2"/>
      <color theme="1"/>
      <sz val="11"/>
      <scheme val="minor"/>
    </font>
    <font>
      <name val="Arial"/>
      <b val="1"/>
      <color rgb="0000497E"/>
      <sz val="18"/>
    </font>
    <font>
      <name val="Arial"/>
      <color rgb="00595959"/>
      <sz val="11"/>
    </font>
    <font>
      <name val="Arial"/>
      <b val="1"/>
      <sz val="10"/>
    </font>
    <font>
      <name val="Arial"/>
      <b val="1"/>
      <color rgb="000000FF"/>
      <sz val="10"/>
    </font>
    <font>
      <name val="Arial"/>
      <color rgb="00595959"/>
      <sz val="10"/>
    </font>
    <font>
      <name val="Arial"/>
      <b val="1"/>
      <color rgb="00FFFFFF"/>
      <sz val="10"/>
    </font>
    <font>
      <name val="Arial"/>
      <b val="1"/>
      <color rgb="0000497E"/>
      <sz val="11"/>
    </font>
    <font>
      <name val="Arial"/>
      <sz val="11"/>
    </font>
    <font>
      <name val="Arial"/>
      <b val="1"/>
      <sz val="11"/>
    </font>
    <font>
      <name val="Arial"/>
      <sz val="10"/>
    </font>
    <font>
      <name val="Arial"/>
      <color rgb="00595959"/>
      <sz val="9"/>
    </font>
    <font>
      <name val="Arial"/>
      <color rgb="000563C1"/>
      <sz val="10"/>
      <u val="single"/>
    </font>
    <font>
      <name val="Arial"/>
      <color rgb="00D9D9D9"/>
      <sz val="10"/>
    </font>
    <font>
      <name val="Arial"/>
      <i val="1"/>
      <color rgb="00595959"/>
      <sz val="10"/>
    </font>
    <font>
      <name val="Arial"/>
      <b val="1"/>
      <color rgb="00C00000"/>
      <sz val="11"/>
    </font>
    <font>
      <name val="Arial"/>
      <i val="1"/>
      <color rgb="00595959"/>
      <sz val="9"/>
    </font>
    <font>
      <name val="Arial"/>
      <b val="1"/>
      <color rgb="0000497E"/>
      <sz val="12"/>
    </font>
    <font>
      <name val="Arial"/>
      <b val="1"/>
      <color rgb="0000497E"/>
      <sz val="2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563C1"/>
      <sz val="9"/>
      <u val="single"/>
    </font>
    <font>
      <name val="Arial"/>
      <b val="1"/>
      <color rgb="0000497E"/>
      <sz val="16"/>
    </font>
  </fonts>
  <fills count="5">
    <fill>
      <patternFill/>
    </fill>
    <fill>
      <patternFill patternType="gray125"/>
    </fill>
    <fill>
      <patternFill patternType="solid">
        <fgColor rgb="0000497E"/>
      </patternFill>
    </fill>
    <fill>
      <patternFill patternType="solid">
        <fgColor rgb="00E3EE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D9D9D9"/>
      </bottom>
    </border>
    <border>
      <bottom style="medium">
        <color rgb="0000497E"/>
      </bottom>
    </border>
    <border>
      <bottom style="thin">
        <color rgb="00000000"/>
      </bottom>
    </border>
    <border>
      <bottom style="thin">
        <color rgb="0000497E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0" borderId="2" applyAlignment="1" pivotButton="0" quotePrefix="0" xfId="0">
      <alignment vertical="center" wrapText="1" indent="1"/>
    </xf>
    <xf numFmtId="164" fontId="9" fillId="0" borderId="2" applyAlignment="1" pivotButton="0" quotePrefix="0" xfId="0">
      <alignment horizontal="center" vertical="center" wrapText="1"/>
    </xf>
    <xf numFmtId="165" fontId="10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164" fontId="15" fillId="0" borderId="2" applyAlignment="1" pivotButton="0" quotePrefix="0" xfId="0">
      <alignment horizontal="center" vertical="center" wrapText="1"/>
    </xf>
    <xf numFmtId="0" fontId="16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0" fillId="0" borderId="3" pivotButton="0" quotePrefix="0" xfId="0"/>
    <xf numFmtId="0" fontId="18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6" fontId="10" fillId="0" borderId="1" applyAlignment="1" pivotButton="0" quotePrefix="0" xfId="0">
      <alignment horizontal="center" vertical="center" wrapText="1"/>
    </xf>
    <xf numFmtId="1" fontId="10" fillId="0" borderId="1" applyAlignment="1" pivotButton="0" quotePrefix="0" xfId="0">
      <alignment horizontal="center" vertical="center" wrapText="1"/>
    </xf>
    <xf numFmtId="2" fontId="10" fillId="0" borderId="1" applyAlignment="1" pivotButton="0" quotePrefix="0" xfId="0">
      <alignment horizontal="center" vertical="center" wrapText="1"/>
    </xf>
    <xf numFmtId="9" fontId="10" fillId="0" borderId="1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 wrapText="1"/>
    </xf>
    <xf numFmtId="164" fontId="20" fillId="4" borderId="1" applyAlignment="1" pivotButton="0" quotePrefix="0" xfId="0">
      <alignment horizontal="center" vertical="center"/>
    </xf>
    <xf numFmtId="165" fontId="20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164" fontId="19" fillId="2" borderId="1" applyAlignment="1" pivotButton="0" quotePrefix="0" xfId="0">
      <alignment horizontal="center" vertical="center"/>
    </xf>
    <xf numFmtId="165" fontId="19" fillId="2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  <xf numFmtId="0" fontId="0" fillId="0" borderId="4" pivotButton="0" quotePrefix="0" xfId="0"/>
    <xf numFmtId="0" fontId="21" fillId="0" borderId="0" pivotButton="0" quotePrefix="0" xfId="0"/>
    <xf numFmtId="0" fontId="22" fillId="0" borderId="0" pivotButton="0" quotePrefix="0" xfId="0"/>
    <xf numFmtId="0" fontId="7" fillId="0" borderId="5" pivotButton="0" quotePrefix="0" xfId="0"/>
    <xf numFmtId="0" fontId="1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/Relationships>
</file>

<file path=xl/drawings/_rels/drawing2.xml.rels><Relationships xmlns="http://schemas.openxmlformats.org/package/2006/relationships"><Relationship Type="http://schemas.openxmlformats.org/officeDocument/2006/relationships/image" Target="/xl/media/image72.png" Id="rId1"/><Relationship Type="http://schemas.openxmlformats.org/officeDocument/2006/relationships/image" Target="/xl/media/image73.png" Id="rId2"/></Relationships>
</file>

<file path=xl/drawings/drawing1.xml><?xml version="1.0" encoding="utf-8"?>
<wsDr xmlns="http://schemas.openxmlformats.org/drawingml/2006/spreadsheetDrawing">
  <oneCellAnchor>
    <from>
      <col>0</col>
      <colOff>76200</colOff>
      <row>0</row>
      <rowOff>152400</rowOff>
    </from>
    <ext cx="126682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114300</colOff>
      <row>0</row>
      <rowOff>133350</rowOff>
    </from>
    <ext cx="828675" cy="438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209550</colOff>
      <row>5</row>
      <rowOff>28575</rowOff>
    </from>
    <ext cx="885825" cy="514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209550</colOff>
      <row>6</row>
      <rowOff>28575</rowOff>
    </from>
    <ext cx="885825" cy="514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295275</colOff>
      <row>7</row>
      <rowOff>28575</rowOff>
    </from>
    <ext cx="714375" cy="514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295275</colOff>
      <row>8</row>
      <rowOff>28575</rowOff>
    </from>
    <ext cx="714375" cy="514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295275</colOff>
      <row>9</row>
      <rowOff>28575</rowOff>
    </from>
    <ext cx="714375" cy="514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295275</colOff>
      <row>10</row>
      <rowOff>28575</rowOff>
    </from>
    <ext cx="714375" cy="514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295275</colOff>
      <row>11</row>
      <rowOff>28575</rowOff>
    </from>
    <ext cx="714375" cy="514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304800</colOff>
      <row>12</row>
      <rowOff>28575</rowOff>
    </from>
    <ext cx="695325" cy="5143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304800</colOff>
      <row>13</row>
      <rowOff>28575</rowOff>
    </from>
    <ext cx="695325" cy="5143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304800</colOff>
      <row>14</row>
      <rowOff>28575</rowOff>
    </from>
    <ext cx="695325" cy="514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304800</colOff>
      <row>15</row>
      <rowOff>28575</rowOff>
    </from>
    <ext cx="695325" cy="5143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304800</colOff>
      <row>16</row>
      <rowOff>28575</rowOff>
    </from>
    <ext cx="695325" cy="5143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304800</colOff>
      <row>17</row>
      <rowOff>28575</rowOff>
    </from>
    <ext cx="695325" cy="5143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295275</colOff>
      <row>18</row>
      <rowOff>28575</rowOff>
    </from>
    <ext cx="714375" cy="5143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314325</colOff>
      <row>19</row>
      <rowOff>28575</rowOff>
    </from>
    <ext cx="676275" cy="5143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314325</colOff>
      <row>20</row>
      <rowOff>28575</rowOff>
    </from>
    <ext cx="676275" cy="5143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266700</colOff>
      <row>21</row>
      <rowOff>28575</rowOff>
    </from>
    <ext cx="771525" cy="5143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266700</colOff>
      <row>22</row>
      <rowOff>28575</rowOff>
    </from>
    <ext cx="771525" cy="5143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266700</colOff>
      <row>23</row>
      <rowOff>28575</rowOff>
    </from>
    <ext cx="771525" cy="5143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266700</colOff>
      <row>24</row>
      <rowOff>28575</rowOff>
    </from>
    <ext cx="771525" cy="5143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266700</colOff>
      <row>25</row>
      <rowOff>28575</rowOff>
    </from>
    <ext cx="771525" cy="5143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200025</colOff>
      <row>26</row>
      <rowOff>38100</rowOff>
    </from>
    <ext cx="914400" cy="495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200025</colOff>
      <row>27</row>
      <rowOff>38100</rowOff>
    </from>
    <ext cx="914400" cy="495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200025</colOff>
      <row>28</row>
      <rowOff>38100</rowOff>
    </from>
    <ext cx="914400" cy="495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200025</colOff>
      <row>29</row>
      <rowOff>38100</rowOff>
    </from>
    <ext cx="914400" cy="4953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200025</colOff>
      <row>30</row>
      <rowOff>38100</rowOff>
    </from>
    <ext cx="914400" cy="4953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419100</colOff>
      <row>31</row>
      <rowOff>28575</rowOff>
    </from>
    <ext cx="466725" cy="5143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409575</colOff>
      <row>33</row>
      <rowOff>28575</rowOff>
    </from>
    <ext cx="495300" cy="5143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409575</colOff>
      <row>34</row>
      <rowOff>28575</rowOff>
    </from>
    <ext cx="4953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35</row>
      <rowOff>28575</rowOff>
    </from>
    <ext cx="619125" cy="5143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36</row>
      <rowOff>28575</rowOff>
    </from>
    <ext cx="619125" cy="5143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276225</colOff>
      <row>37</row>
      <rowOff>28575</rowOff>
    </from>
    <ext cx="752475" cy="5143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276225</colOff>
      <row>38</row>
      <rowOff>28575</rowOff>
    </from>
    <ext cx="752475" cy="5143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276225</colOff>
      <row>39</row>
      <rowOff>28575</rowOff>
    </from>
    <ext cx="752475" cy="5143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276225</colOff>
      <row>40</row>
      <rowOff>28575</rowOff>
    </from>
    <ext cx="752475" cy="5143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276225</colOff>
      <row>41</row>
      <rowOff>28575</rowOff>
    </from>
    <ext cx="752475" cy="5143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276225</colOff>
      <row>42</row>
      <rowOff>28575</rowOff>
    </from>
    <ext cx="752475" cy="5143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276225</colOff>
      <row>43</row>
      <rowOff>28575</rowOff>
    </from>
    <ext cx="752475" cy="5143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276225</colOff>
      <row>44</row>
      <rowOff>28575</rowOff>
    </from>
    <ext cx="752475" cy="5143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257175</colOff>
      <row>45</row>
      <rowOff>28575</rowOff>
    </from>
    <ext cx="790575" cy="5143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257175</colOff>
      <row>46</row>
      <rowOff>28575</rowOff>
    </from>
    <ext cx="790575" cy="5143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238125</colOff>
      <row>47</row>
      <rowOff>28575</rowOff>
    </from>
    <ext cx="828675" cy="5143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238125</colOff>
      <row>48</row>
      <rowOff>28575</rowOff>
    </from>
    <ext cx="828675" cy="5143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238125</colOff>
      <row>49</row>
      <rowOff>28575</rowOff>
    </from>
    <ext cx="828675" cy="5143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238125</colOff>
      <row>50</row>
      <rowOff>28575</rowOff>
    </from>
    <ext cx="828675" cy="5143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238125</colOff>
      <row>51</row>
      <rowOff>28575</rowOff>
    </from>
    <ext cx="828675" cy="5143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200025</colOff>
      <row>52</row>
      <rowOff>38100</rowOff>
    </from>
    <ext cx="914400" cy="5048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200025</colOff>
      <row>53</row>
      <rowOff>95250</rowOff>
    </from>
    <ext cx="914400" cy="3905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200025</colOff>
      <row>54</row>
      <rowOff>95250</rowOff>
    </from>
    <ext cx="914400" cy="3905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219075</colOff>
      <row>56</row>
      <rowOff>28575</rowOff>
    </from>
    <ext cx="866775" cy="5143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219075</colOff>
      <row>57</row>
      <rowOff>28575</rowOff>
    </from>
    <ext cx="866775" cy="5143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276225</colOff>
      <row>59</row>
      <rowOff>28575</rowOff>
    </from>
    <ext cx="752475" cy="5143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276225</colOff>
      <row>60</row>
      <rowOff>28575</rowOff>
    </from>
    <ext cx="752475" cy="5143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247650</colOff>
      <row>61</row>
      <rowOff>28575</rowOff>
    </from>
    <ext cx="809625" cy="5143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63</row>
      <rowOff>28575</rowOff>
    </from>
    <ext cx="619125" cy="5143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219075</colOff>
      <row>65</row>
      <rowOff>28575</rowOff>
    </from>
    <ext cx="876300" cy="5143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295275</colOff>
      <row>66</row>
      <rowOff>28575</rowOff>
    </from>
    <ext cx="714375" cy="5143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295275</colOff>
      <row>67</row>
      <rowOff>28575</rowOff>
    </from>
    <ext cx="714375" cy="5143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295275</colOff>
      <row>68</row>
      <rowOff>28575</rowOff>
    </from>
    <ext cx="714375" cy="5143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209550</colOff>
      <row>69</row>
      <rowOff>28575</rowOff>
    </from>
    <ext cx="895350" cy="5143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323850</colOff>
      <row>71</row>
      <rowOff>28575</rowOff>
    </from>
    <ext cx="657225" cy="5143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419100</colOff>
      <row>72</row>
      <rowOff>28575</rowOff>
    </from>
    <ext cx="476250" cy="5143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419100</colOff>
      <row>73</row>
      <rowOff>28575</rowOff>
    </from>
    <ext cx="476250" cy="5143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419100</colOff>
      <row>74</row>
      <rowOff>28575</rowOff>
    </from>
    <ext cx="476250" cy="5143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257175</colOff>
      <row>75</row>
      <rowOff>28575</rowOff>
    </from>
    <ext cx="800100" cy="5143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361950</colOff>
      <row>77</row>
      <rowOff>28575</rowOff>
    </from>
    <ext cx="581025" cy="5143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295275</colOff>
      <row>78</row>
      <rowOff>28575</rowOff>
    </from>
    <ext cx="723900" cy="5143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295275</colOff>
      <row>79</row>
      <rowOff>28575</rowOff>
    </from>
    <ext cx="723900" cy="5143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333375</colOff>
      <row>80</row>
      <rowOff>28575</rowOff>
    </from>
    <ext cx="638175" cy="5143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38100</colOff>
      <row>0</row>
      <rowOff>38100</rowOff>
    </from>
    <ext cx="1762125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381000</colOff>
      <row>45</row>
      <rowOff>0</rowOff>
    </from>
    <ext cx="91440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zonteh.net/product/tocator-shaktiman-afm/" TargetMode="External" Id="rId1"/><Relationship Type="http://schemas.openxmlformats.org/officeDocument/2006/relationships/hyperlink" Target="https://docs.google.com/spreadsheets/d/1CXkK0ItyxIAIqxW4vkuozfDCTeFBFK2bOTakDbVFslE/edit?usp=sharing" TargetMode="External" Id="rId2"/><Relationship Type="http://schemas.openxmlformats.org/officeDocument/2006/relationships/hyperlink" Target="https://ozonteh.net/product/tocator-shaktiman-afm/" TargetMode="External" Id="rId3"/><Relationship Type="http://schemas.openxmlformats.org/officeDocument/2006/relationships/hyperlink" Target="https://docs.google.com/spreadsheets/d/11Qv4P7lFPcEDoh3VjBqzTBHIHMJPLFnAoZX1w4akAuE/edit?usp=sharing" TargetMode="External" Id="rId4"/><Relationship Type="http://schemas.openxmlformats.org/officeDocument/2006/relationships/hyperlink" Target="https://ozonteh.net/product/tocator-shaktiman-bmf/" TargetMode="External" Id="rId5"/><Relationship Type="http://schemas.openxmlformats.org/officeDocument/2006/relationships/hyperlink" Target="https://docs.google.com/spreadsheets/d/17ajncHgjQHD4XVyM3_jr7RA9FlROw4kCJNlOpmbo9d8/edit?usp=sharing" TargetMode="External" Id="rId6"/><Relationship Type="http://schemas.openxmlformats.org/officeDocument/2006/relationships/hyperlink" Target="https://ozonteh.net/product/tocator-shaktiman-bmf/" TargetMode="External" Id="rId7"/><Relationship Type="http://schemas.openxmlformats.org/officeDocument/2006/relationships/hyperlink" Target="https://docs.google.com/spreadsheets/d/1r6RMANLjYb7QK4w9wJQRI_A29-G0snlwcwQ25qslw9k/edit?usp=sharing" TargetMode="External" Id="rId8"/><Relationship Type="http://schemas.openxmlformats.org/officeDocument/2006/relationships/hyperlink" Target="https://ozonteh.net/product/tocator-shaktiman-bmf/" TargetMode="External" Id="rId9"/><Relationship Type="http://schemas.openxmlformats.org/officeDocument/2006/relationships/hyperlink" Target="https://docs.google.com/spreadsheets/d/1HfLhZKBpEZDAqOhNj77nIUSbBlG5AWRsJnTOdow9N0o/edit?usp=sharing" TargetMode="External" Id="rId10"/><Relationship Type="http://schemas.openxmlformats.org/officeDocument/2006/relationships/hyperlink" Target="https://ozonteh.net/product/tocator-shaktiman-bmf/" TargetMode="External" Id="rId11"/><Relationship Type="http://schemas.openxmlformats.org/officeDocument/2006/relationships/hyperlink" Target="https://docs.google.com/spreadsheets/d/1NUuMEYaakNKEAQNzkhGg_hpi15iCu2ucLLI16-K7BE0/edit?usp=sharing" TargetMode="External" Id="rId12"/><Relationship Type="http://schemas.openxmlformats.org/officeDocument/2006/relationships/hyperlink" Target="https://ozonteh.net/product/tocator-shaktiman-bmf/" TargetMode="External" Id="rId13"/><Relationship Type="http://schemas.openxmlformats.org/officeDocument/2006/relationships/hyperlink" Target="https://docs.google.com/spreadsheets/d/1lS9OA4xc6Zh0IheX8orc_RNht2rLft-6r5zBzSxUM98/edit?usp=sharing" TargetMode="External" Id="rId14"/><Relationship Type="http://schemas.openxmlformats.org/officeDocument/2006/relationships/hyperlink" Target="https://ozonteh.net/product/tocator-shaktiman-bpf/" TargetMode="External" Id="rId15"/><Relationship Type="http://schemas.openxmlformats.org/officeDocument/2006/relationships/hyperlink" Target="https://docs.google.com/spreadsheets/d/1j0T44xCNkUDuWfbBeC_nQOtFtEL88StZkmoF9DRNmHg/edit?usp=sharing" TargetMode="External" Id="rId16"/><Relationship Type="http://schemas.openxmlformats.org/officeDocument/2006/relationships/hyperlink" Target="https://ozonteh.net/product/tocator-shaktiman-bpf/" TargetMode="External" Id="rId17"/><Relationship Type="http://schemas.openxmlformats.org/officeDocument/2006/relationships/hyperlink" Target="https://docs.google.com/spreadsheets/d/1OYQ0AbKni0w8bQGkwfN4UJz2siUJgyWzHztgB0f47vc/edit?usp=sharing" TargetMode="External" Id="rId18"/><Relationship Type="http://schemas.openxmlformats.org/officeDocument/2006/relationships/hyperlink" Target="https://ozonteh.net/product/tocator-shaktiman-bpf/" TargetMode="External" Id="rId19"/><Relationship Type="http://schemas.openxmlformats.org/officeDocument/2006/relationships/hyperlink" Target="https://docs.google.com/spreadsheets/d/1OEogHx_IYuzv0ewoJ2m2tUd_8ijyM0BZUdkRAfS8MCs/edit?usp=sharing" TargetMode="External" Id="rId20"/><Relationship Type="http://schemas.openxmlformats.org/officeDocument/2006/relationships/hyperlink" Target="https://ozonteh.net/product/tocator-shaktiman-bpf/" TargetMode="External" Id="rId21"/><Relationship Type="http://schemas.openxmlformats.org/officeDocument/2006/relationships/hyperlink" Target="https://ozonteh.net/product/tocator-shaktiman-spfm/" TargetMode="External" Id="rId22"/><Relationship Type="http://schemas.openxmlformats.org/officeDocument/2006/relationships/hyperlink" Target="https://docs.google.com/spreadsheets/d/1ObP7sga55mHSHB9fLh3tL4mkVqAn5ZzQimK9ajEQ4cA/edit?gid=1922752811" TargetMode="External" Id="rId23"/><Relationship Type="http://schemas.openxmlformats.org/officeDocument/2006/relationships/hyperlink" Target="https://ozonteh.net/product/tocator-shaktiman-spfm/" TargetMode="External" Id="rId24"/><Relationship Type="http://schemas.openxmlformats.org/officeDocument/2006/relationships/hyperlink" Target="https://docs.google.com/spreadsheets/d/1lXIXyzeUyNviWraEwntyAZNCKRxVi95QuLhXBtzfCr4/edit?usp=sharing" TargetMode="External" Id="rId25"/><Relationship Type="http://schemas.openxmlformats.org/officeDocument/2006/relationships/hyperlink" Target="https://ozonteh.net/product/tocator-cu-descarcare-laterala-shaktiman-sdfm/" TargetMode="External" Id="rId26"/><Relationship Type="http://schemas.openxmlformats.org/officeDocument/2006/relationships/hyperlink" Target="https://docs.google.com/spreadsheets/d/1MJYYY_GfTiUlLcixDgdnHL3Kem1oUypUUFxH2AmwfyY/edit?usp=sharing" TargetMode="External" Id="rId27"/><Relationship Type="http://schemas.openxmlformats.org/officeDocument/2006/relationships/hyperlink" Target="https://ozonteh.net/product/tocator-shaktiman-bma/" TargetMode="External" Id="rId28"/><Relationship Type="http://schemas.openxmlformats.org/officeDocument/2006/relationships/hyperlink" Target="https://docs.google.com/spreadsheets/d/1kC780ekUbYbcJmTq2gp4C_CP_pVxqaB8OUzN2SwPUoU/edit?usp=sharing" TargetMode="External" Id="rId29"/><Relationship Type="http://schemas.openxmlformats.org/officeDocument/2006/relationships/hyperlink" Target="https://ozonteh.net/product/tocator-shaktiman-bma/" TargetMode="External" Id="rId30"/><Relationship Type="http://schemas.openxmlformats.org/officeDocument/2006/relationships/hyperlink" Target="https://docs.google.com/spreadsheets/d/1dMtlN5kWLg93ZsZjtzVdV-tvZrZcjJQeYgD4ei0Rhmw/edit?usp=sharing" TargetMode="External" Id="rId31"/><Relationship Type="http://schemas.openxmlformats.org/officeDocument/2006/relationships/hyperlink" Target="https://ozonteh.net/product/tocator-shaktiman-sfm-ul/" TargetMode="External" Id="rId32"/><Relationship Type="http://schemas.openxmlformats.org/officeDocument/2006/relationships/hyperlink" Target="https://ozonteh.net/product/tocator-shaktiman-sfm-ul/" TargetMode="External" Id="rId33"/><Relationship Type="http://schemas.openxmlformats.org/officeDocument/2006/relationships/hyperlink" Target="https://ozonteh.net/product/tocator-shaktiman-sfm-ul/" TargetMode="External" Id="rId34"/><Relationship Type="http://schemas.openxmlformats.org/officeDocument/2006/relationships/hyperlink" Target="https://docs.google.com/spreadsheets/d/1Cl2P7BxvJAuJIAgocJ4ZIBDSu4r6fjLIOsV__4VSKcM/edit?usp=sharing" TargetMode="External" Id="rId35"/><Relationship Type="http://schemas.openxmlformats.org/officeDocument/2006/relationships/hyperlink" Target="https://ozonteh.net/product/tocator-shaktiman-sfm-ul/" TargetMode="External" Id="rId36"/><Relationship Type="http://schemas.openxmlformats.org/officeDocument/2006/relationships/hyperlink" Target="https://docs.google.com/spreadsheets/d/1zc4yF3Yp9qvsrRD4W3fWbGVEvaZ1P1mECVGdAmwRwnw/edit?usp=sharing" TargetMode="External" Id="rId37"/><Relationship Type="http://schemas.openxmlformats.org/officeDocument/2006/relationships/hyperlink" Target="https://ozonteh.net/product/tocator-shaktiman-sfm-ul/" TargetMode="External" Id="rId38"/><Relationship Type="http://schemas.openxmlformats.org/officeDocument/2006/relationships/hyperlink" Target="https://docs.google.com/spreadsheets/d/1C4Xx9-j4LOekK_ZmX9MjKMHOT6M_8jyRrEiRTGO2Ea4/edit?usp=sharing" TargetMode="External" Id="rId39"/><Relationship Type="http://schemas.openxmlformats.org/officeDocument/2006/relationships/hyperlink" Target="https://ozonteh.net/product/tocator-shaktiman-sfm/" TargetMode="External" Id="rId40"/><Relationship Type="http://schemas.openxmlformats.org/officeDocument/2006/relationships/hyperlink" Target="https://docs.google.com/spreadsheets/d/1tgDcbe7uHwcGY1fryPt9MJ_2f4x9-UGZAzq8Yr_KKZY/edit?usp=sharing" TargetMode="External" Id="rId41"/><Relationship Type="http://schemas.openxmlformats.org/officeDocument/2006/relationships/hyperlink" Target="https://ozonteh.net/product/tocator-shaktiman-sfm/" TargetMode="External" Id="rId42"/><Relationship Type="http://schemas.openxmlformats.org/officeDocument/2006/relationships/hyperlink" Target="https://docs.google.com/spreadsheets/d/1FZIBfqwUpDxsbK551gVAVhTkrScbhK5tHD_i9XaSTig/edit?usp=sharing" TargetMode="External" Id="rId43"/><Relationship Type="http://schemas.openxmlformats.org/officeDocument/2006/relationships/hyperlink" Target="https://ozonteh.net/product/tocator-shaktiman-sfm/" TargetMode="External" Id="rId44"/><Relationship Type="http://schemas.openxmlformats.org/officeDocument/2006/relationships/hyperlink" Target="https://docs.google.com/spreadsheets/d/1zCNDDCzqneudjD48TX0PPZW1SunMh8NEn68UViIdBco/edit?usp=sharing" TargetMode="External" Id="rId45"/><Relationship Type="http://schemas.openxmlformats.org/officeDocument/2006/relationships/hyperlink" Target="https://ozonteh.net/product/tocator-shaktiman-sfm/" TargetMode="External" Id="rId46"/><Relationship Type="http://schemas.openxmlformats.org/officeDocument/2006/relationships/hyperlink" Target="https://docs.google.com/spreadsheets/d/1wGRmMnrxPvmyiQDXqQxFLwqyUj206spYFEkuedS58dA/edit?usp=sharing" TargetMode="External" Id="rId47"/><Relationship Type="http://schemas.openxmlformats.org/officeDocument/2006/relationships/hyperlink" Target="https://ozonteh.net/product/tocator-shaktiman-sfm/" TargetMode="External" Id="rId48"/><Relationship Type="http://schemas.openxmlformats.org/officeDocument/2006/relationships/hyperlink" Target="https://docs.google.com/spreadsheets/d/1_sOXq3HsNLLJhHysigo3Titq-BB4RG8oSlcXT9D7DOE/edit?usp=sharing" TargetMode="External" Id="rId49"/><Relationship Type="http://schemas.openxmlformats.org/officeDocument/2006/relationships/hyperlink" Target="https://ozonteh.net/product/tocator-de-resturi-vegetale-si-a-furajelor-verzi-shaktiman-12-sm/" TargetMode="External" Id="rId50"/><Relationship Type="http://schemas.openxmlformats.org/officeDocument/2006/relationships/hyperlink" Target="https://docs.google.com/spreadsheets/d/1JrzI31fr-fR8gKLQwP_eZ2x0aJBSjj1xRAuHiscilg4/edit?usp=sharing" TargetMode="External" Id="rId51"/><Relationship Type="http://schemas.openxmlformats.org/officeDocument/2006/relationships/hyperlink" Target="https://ozonteh.net/product/freza-de-sol-shaktiman-mini-plus/" TargetMode="External" Id="rId52"/><Relationship Type="http://schemas.openxmlformats.org/officeDocument/2006/relationships/hyperlink" Target="https://docs.google.com/spreadsheets/d/18p2w-aADJq2_HKxNxfKozPM41kH_DVWl2VzP7BXl8fo/edit?usp=sharing" TargetMode="External" Id="rId53"/><Relationship Type="http://schemas.openxmlformats.org/officeDocument/2006/relationships/hyperlink" Target="https://ozonteh.net/product/freza-de-sol-shaktiman-mini-plus/" TargetMode="External" Id="rId54"/><Relationship Type="http://schemas.openxmlformats.org/officeDocument/2006/relationships/hyperlink" Target="https://docs.google.com/spreadsheets/d/1PsbxoeDJj-eMJH8RJBum3G7Z-HgeI5aH1xcGPAQIQko/edit?usp=sharing" TargetMode="External" Id="rId55"/><Relationship Type="http://schemas.openxmlformats.org/officeDocument/2006/relationships/hyperlink" Target="https://ozonteh.net/product/freza-de-sol-shaktiman-ul/" TargetMode="External" Id="rId56"/><Relationship Type="http://schemas.openxmlformats.org/officeDocument/2006/relationships/hyperlink" Target="https://docs.google.com/spreadsheets/d/1MvHq7JQ3vsiJxzhCJiN4R_bX1grcgnJZKBVNbewO1VU/edit?usp=sharing" TargetMode="External" Id="rId57"/><Relationship Type="http://schemas.openxmlformats.org/officeDocument/2006/relationships/hyperlink" Target="https://ozonteh.net/product/freza-de-sol-shaktiman-ul/" TargetMode="External" Id="rId58"/><Relationship Type="http://schemas.openxmlformats.org/officeDocument/2006/relationships/hyperlink" Target="https://docs.google.com/spreadsheets/d/1fcmIXEdl9ZcgQKKcxEf33TauSZ430dyd8UYnOJ9FCeo/edit?usp=sharing" TargetMode="External" Id="rId59"/><Relationship Type="http://schemas.openxmlformats.org/officeDocument/2006/relationships/hyperlink" Target="https://ozonteh.net/product/freza-de-sol-shaktiman-um/" TargetMode="External" Id="rId60"/><Relationship Type="http://schemas.openxmlformats.org/officeDocument/2006/relationships/hyperlink" Target="https://docs.google.com/spreadsheets/d/1LkGFEfUtpzKxAJKVfjyS6iGAX2QkopArDLkQfuNV4qg/edit?usp=sharing" TargetMode="External" Id="rId61"/><Relationship Type="http://schemas.openxmlformats.org/officeDocument/2006/relationships/hyperlink" Target="https://ozonteh.net/product/freza-de-sol-shaktiman-um/" TargetMode="External" Id="rId62"/><Relationship Type="http://schemas.openxmlformats.org/officeDocument/2006/relationships/hyperlink" Target="https://docs.google.com/spreadsheets/d/1QCnK48znWFg3TtdqYZwCjLDmmYpf3lSM1PKyduq2tGE/edit?usp=sharing" TargetMode="External" Id="rId63"/><Relationship Type="http://schemas.openxmlformats.org/officeDocument/2006/relationships/hyperlink" Target="https://ozonteh.net/product/freza-de-sol-shaktiman-um/" TargetMode="External" Id="rId64"/><Relationship Type="http://schemas.openxmlformats.org/officeDocument/2006/relationships/hyperlink" Target="https://docs.google.com/spreadsheets/d/1l3CDErMmCUHYQVfYKsbEK8ua-k4TB3UwETx4wgZPudA/edit?usp=sharing" TargetMode="External" Id="rId65"/><Relationship Type="http://schemas.openxmlformats.org/officeDocument/2006/relationships/hyperlink" Target="https://ozonteh.net/product/freza-de-sol-shaktiman-um/" TargetMode="External" Id="rId66"/><Relationship Type="http://schemas.openxmlformats.org/officeDocument/2006/relationships/hyperlink" Target="https://docs.google.com/spreadsheets/d/1zfFvezNR7CRaf-Hd57HIvGIZP91Tbpurhf-wDThvaUA/edit?usp=sharing" TargetMode="External" Id="rId67"/><Relationship Type="http://schemas.openxmlformats.org/officeDocument/2006/relationships/hyperlink" Target="https://ozonteh.net/product/freza-de-sol-shaktiman-semi-champion/" TargetMode="External" Id="rId68"/><Relationship Type="http://schemas.openxmlformats.org/officeDocument/2006/relationships/hyperlink" Target="https://docs.google.com/spreadsheets/d/1Is8Cy2WwcVNY4QULJzPAnwysklFUSGRTPshoisdIsA0/edit?usp=sharing" TargetMode="External" Id="rId69"/><Relationship Type="http://schemas.openxmlformats.org/officeDocument/2006/relationships/hyperlink" Target="https://ozonteh.net/product/freza-de-sol-shaktiman-semi-champion/" TargetMode="External" Id="rId70"/><Relationship Type="http://schemas.openxmlformats.org/officeDocument/2006/relationships/hyperlink" Target="https://docs.google.com/spreadsheets/d/1TceIzq9myJogWO--x-IfN2BDHilX-ju6_nbN57ifby4/edit?usp=sharing" TargetMode="External" Id="rId71"/><Relationship Type="http://schemas.openxmlformats.org/officeDocument/2006/relationships/hyperlink" Target="https://ozonteh.net/product/freza-de-sol-shaktiman-semi-champion/" TargetMode="External" Id="rId72"/><Relationship Type="http://schemas.openxmlformats.org/officeDocument/2006/relationships/hyperlink" Target="https://docs.google.com/spreadsheets/d/15URF8uzXPuHHu9B8eAQhT_91JHjp6JlBee2j74HZjtE/edit?usp=sharing" TargetMode="External" Id="rId73"/><Relationship Type="http://schemas.openxmlformats.org/officeDocument/2006/relationships/hyperlink" Target="https://ozonteh.net/product/freza-de-sol-shaktiman-semi-champion/" TargetMode="External" Id="rId74"/><Relationship Type="http://schemas.openxmlformats.org/officeDocument/2006/relationships/hyperlink" Target="https://docs.google.com/spreadsheets/d/1QdQU8IxLFMGVqUIob0GmMy0ey9I3f-5T52tHV6kEJyQ/edit?usp=sharing" TargetMode="External" Id="rId75"/><Relationship Type="http://schemas.openxmlformats.org/officeDocument/2006/relationships/hyperlink" Target="https://ozonteh.net/product/freza-de-sol-shaktiman-champion/" TargetMode="External" Id="rId76"/><Relationship Type="http://schemas.openxmlformats.org/officeDocument/2006/relationships/hyperlink" Target="https://docs.google.com/spreadsheets/d/1quKsnJfPhmwDOZTbbehsdfI2mFHZdo01BwQhqu7LMoU/edit?usp=sharing" TargetMode="External" Id="rId77"/><Relationship Type="http://schemas.openxmlformats.org/officeDocument/2006/relationships/hyperlink" Target="https://ozonteh.net/product/freza-de-sol-shaktiman-champion/" TargetMode="External" Id="rId78"/><Relationship Type="http://schemas.openxmlformats.org/officeDocument/2006/relationships/hyperlink" Target="https://docs.google.com/spreadsheets/d/1__x4i6oRb-VQ44ChEHUwyDc2y9YrK2q6LSzSKsEr4rI/edit?usp=sharing" TargetMode="External" Id="rId79"/><Relationship Type="http://schemas.openxmlformats.org/officeDocument/2006/relationships/hyperlink" Target="https://ozonteh.net/product/freza-rotativa-cu-deplasare-shaktiman-vls/" TargetMode="External" Id="rId80"/><Relationship Type="http://schemas.openxmlformats.org/officeDocument/2006/relationships/hyperlink" Target="https://docs.google.com/spreadsheets/d/1vykY6gvoD2wPJ8guf_iernE-5RbRi1j_5gbZTCQrK2Q/edit?usp=sharing" TargetMode="External" Id="rId81"/><Relationship Type="http://schemas.openxmlformats.org/officeDocument/2006/relationships/hyperlink" Target="https://ozonteh.net/product/freza-rotativa-cu-deplasare-shaktiman-vls/" TargetMode="External" Id="rId82"/><Relationship Type="http://schemas.openxmlformats.org/officeDocument/2006/relationships/hyperlink" Target="https://docs.google.com/spreadsheets/d/1xsvNvaPNe-NVkyI_Ox4R7eJb0YfBvu7pDYVxXiSfFdM/edit?usp=sharing" TargetMode="External" Id="rId83"/><Relationship Type="http://schemas.openxmlformats.org/officeDocument/2006/relationships/hyperlink" Target="https://ozonteh.net/product/freza-rotativa-cu-deplasare-shaktiman-vls/" TargetMode="External" Id="rId84"/><Relationship Type="http://schemas.openxmlformats.org/officeDocument/2006/relationships/hyperlink" Target="https://ozonteh.net/product/freza-rotativa-cu-deplasare-shaktiman-vls/" TargetMode="External" Id="rId85"/><Relationship Type="http://schemas.openxmlformats.org/officeDocument/2006/relationships/hyperlink" Target="https://ozonteh.net/product/freza-rotativa-cu-deplasare-shaktiman-vls/" TargetMode="External" Id="rId86"/><Relationship Type="http://schemas.openxmlformats.org/officeDocument/2006/relationships/hyperlink" Target="https://ozonteh.net/product/freza-inter-rand-shaktiman-ic/" TargetMode="External" Id="rId87"/><Relationship Type="http://schemas.openxmlformats.org/officeDocument/2006/relationships/hyperlink" Target="https://docs.google.com/spreadsheets/d/1Ovj0yZktbVayxfUmThiI23cuLu1PJC7IWxzH44kNqoY/edit?usp=sharing" TargetMode="External" Id="rId88"/><Relationship Type="http://schemas.openxmlformats.org/officeDocument/2006/relationships/hyperlink" Target="https://ozonteh.net/product/freza-cu-cadru-flexibil-srt/" TargetMode="External" Id="rId89"/><Relationship Type="http://schemas.openxmlformats.org/officeDocument/2006/relationships/hyperlink" Target="https://docs.google.com/spreadsheets/d/1NYjFyuRu75TJYYhpRnPjZsf3S2UlwVwB_14TndMvGFM/edit?usp=sharing" TargetMode="External" Id="rId90"/><Relationship Type="http://schemas.openxmlformats.org/officeDocument/2006/relationships/hyperlink" Target="https://ozonteh.net/product/freza-cu-cadru-flexibil-srt/" TargetMode="External" Id="rId91"/><Relationship Type="http://schemas.openxmlformats.org/officeDocument/2006/relationships/hyperlink" Target="https://docs.google.com/spreadsheets/d/1elEV2ncymgVD8w1p7XrPzYyFjHPDR9samZYA11fCdqs/edit?usp=sharing" TargetMode="External" Id="rId92"/><Relationship Type="http://schemas.openxmlformats.org/officeDocument/2006/relationships/hyperlink" Target="https://ozonteh.net/product/grapa-rotativa-shaktiman-srp/" TargetMode="External" Id="rId93"/><Relationship Type="http://schemas.openxmlformats.org/officeDocument/2006/relationships/hyperlink" Target="https://docs.google.com/spreadsheets/d/12XXWF2WdB0QXp1F_xEnH-s_KMQB7QaaKCv5mHOugXCI/edit?usp=sharing" TargetMode="External" Id="rId94"/><Relationship Type="http://schemas.openxmlformats.org/officeDocument/2006/relationships/hyperlink" Target="https://ozonteh.net/product/grapa-rotativa-shaktiman-srp/" TargetMode="External" Id="rId95"/><Relationship Type="http://schemas.openxmlformats.org/officeDocument/2006/relationships/hyperlink" Target="https://docs.google.com/spreadsheets/d/14Pf4Ygplb6w_PQEmbUvzOtUFe3A_3_sNaMyp7omyDLA/edit?usp=sharing" TargetMode="External" Id="rId96"/><Relationship Type="http://schemas.openxmlformats.org/officeDocument/2006/relationships/hyperlink" Target="https://ozonteh.net/product/pluguri-reversibile-shaktiman/" TargetMode="External" Id="rId97"/><Relationship Type="http://schemas.openxmlformats.org/officeDocument/2006/relationships/hyperlink" Target="https://docs.google.com/spreadsheets/d/1BgJft15O2wMluQq03gyPiBQ-faXXA6A4v_Y2TjYjzdI/edit?usp=sharing" TargetMode="External" Id="rId98"/><Relationship Type="http://schemas.openxmlformats.org/officeDocument/2006/relationships/hyperlink" Target="https://ozonteh.net/product/pluguri-reversibile-shaktiman/" TargetMode="External" Id="rId99"/><Relationship Type="http://schemas.openxmlformats.org/officeDocument/2006/relationships/hyperlink" Target="https://docs.google.com/spreadsheets/d/1voNTdosIV-IrjNGhj90FudAfoHXcy1Z0f9-5rzgl1YU/edit?usp=sharing" TargetMode="External" Id="rId100"/><Relationship Type="http://schemas.openxmlformats.org/officeDocument/2006/relationships/hyperlink" Target="https://ozonteh.net/product/scarificator-shaktiman-sdc-5t/" TargetMode="External" Id="rId101"/><Relationship Type="http://schemas.openxmlformats.org/officeDocument/2006/relationships/hyperlink" Target="https://docs.google.com/spreadsheets/d/1y4f5JcWbb1VypgJG0pF-VEGw_r1o5AnbpigHm_JWU7o/edit?usp=sharing" TargetMode="External" Id="rId102"/><Relationship Type="http://schemas.openxmlformats.org/officeDocument/2006/relationships/hyperlink" Target="https://ozonteh.net/product/semanatoare-pneumatica-de-precizie-shaktiman-svpp/" TargetMode="External" Id="rId103"/><Relationship Type="http://schemas.openxmlformats.org/officeDocument/2006/relationships/hyperlink" Target="https://docs.google.com/spreadsheets/d/1qV4uXvi2EXzugQXk5kkB-6Z5xMFXaIt04NSuloTz090/edit?usp=sharing" TargetMode="External" Id="rId104"/><Relationship Type="http://schemas.openxmlformats.org/officeDocument/2006/relationships/hyperlink" Target="https://ozonteh.net/product/cositoarea-cu-tambur-shaktiman-sdm/" TargetMode="External" Id="rId105"/><Relationship Type="http://schemas.openxmlformats.org/officeDocument/2006/relationships/hyperlink" Target="https://docs.google.com/spreadsheets/d/1zq6hJLcgPXYyxLweQB7OG6lgtq5dAoK9cCPafTGG3-w/edit?usp=sharing" TargetMode="External" Id="rId106"/><Relationship Type="http://schemas.openxmlformats.org/officeDocument/2006/relationships/hyperlink" Target="https://ozonteh.net/product/cositoarea-plata-shaktiman-srs/" TargetMode="External" Id="rId107"/><Relationship Type="http://schemas.openxmlformats.org/officeDocument/2006/relationships/hyperlink" Target="https://docs.google.com/spreadsheets/d/1CEzpJ9wPPgCnbDilI_BEt6_BkEAR8hIBKNKh4j2qGXo/edit?usp=sharing" TargetMode="External" Id="rId108"/><Relationship Type="http://schemas.openxmlformats.org/officeDocument/2006/relationships/hyperlink" Target="https://ozonteh.net/product/cositoarea-plata-shaktiman-srs/" TargetMode="External" Id="rId109"/><Relationship Type="http://schemas.openxmlformats.org/officeDocument/2006/relationships/hyperlink" Target="https://docs.google.com/spreadsheets/d/1LQx3qOWVImkVYkRwEReFnSEKIrZNwGyz47lwAneYPcw/edit?gid=1009003650" TargetMode="External" Id="rId110"/><Relationship Type="http://schemas.openxmlformats.org/officeDocument/2006/relationships/hyperlink" Target="https://ozonteh.net/product/cositoarea-plata-shaktiman-srs/" TargetMode="External" Id="rId111"/><Relationship Type="http://schemas.openxmlformats.org/officeDocument/2006/relationships/hyperlink" Target="https://docs.google.com/spreadsheets/d/1WmNMi52qBXGNQHKA6exxO2uOcBCimGUXF1NEDIpTJCo/edit?usp=sharing" TargetMode="External" Id="rId112"/><Relationship Type="http://schemas.openxmlformats.org/officeDocument/2006/relationships/hyperlink" Target="https://ozonteh.net/product/grebla-rotativa-shaktiman-shr/" TargetMode="External" Id="rId113"/><Relationship Type="http://schemas.openxmlformats.org/officeDocument/2006/relationships/hyperlink" Target="https://docs.google.com/spreadsheets/d/1d6rSOnZfjFQ9fFAaJIVjZhqwEEm3affvuPdPGrn_qrw/edit?usp=sharing" TargetMode="External" Id="rId114"/><Relationship Type="http://schemas.openxmlformats.org/officeDocument/2006/relationships/hyperlink" Target="https://ozonteh.net/product/presa-de-balotat-rotunzi-shaktiman-srb-120/" TargetMode="External" Id="rId115"/><Relationship Type="http://schemas.openxmlformats.org/officeDocument/2006/relationships/hyperlink" Target="https://docs.google.com/spreadsheets/d/1lmesKFZqP_yFlHLKBuLh-QINxaLIuP2yMBHx7TbYHps/edit?usp=sharing" TargetMode="External" Id="rId116"/><Relationship Type="http://schemas.openxmlformats.org/officeDocument/2006/relationships/hyperlink" Target="https://ozonteh.net/product/presa-de-balotat-rotunzi-shaktiman-srb-60-plus/" TargetMode="External" Id="rId117"/><Relationship Type="http://schemas.openxmlformats.org/officeDocument/2006/relationships/hyperlink" Target="https://docs.google.com/spreadsheets/d/1vniLDplZzdBBfkgF558M-HNCuAe4iwxrHtL-w8LDRkc/edit?usp=sharing" TargetMode="External" Id="rId118"/><Relationship Type="http://schemas.openxmlformats.org/officeDocument/2006/relationships/hyperlink" Target="https://ozonteh.net/product/presa-de-balotat-rotunzi-shaktiman-srb-60-plus/" TargetMode="External" Id="rId119"/><Relationship Type="http://schemas.openxmlformats.org/officeDocument/2006/relationships/hyperlink" Target="https://docs.google.com/spreadsheets/d/1yInPkuAEHVzyqfwPiy0Uew55Ockx19jgZeUheqH2Jz4/edit?usp=sharing" TargetMode="External" Id="rId120"/><Relationship Type="http://schemas.openxmlformats.org/officeDocument/2006/relationships/hyperlink" Target="https://ozonteh.net/product/presa-de-balotat-rotunzi-shaktiman-srb-60-plus/" TargetMode="External" Id="rId121"/><Relationship Type="http://schemas.openxmlformats.org/officeDocument/2006/relationships/hyperlink" Target="https://docs.google.com/spreadsheets/d/1_rqcFlgXHk-i2IEOA99WSAqMN4uRnzpHGIW1sTAWqAU/edit?usp=sharing" TargetMode="External" Id="rId122"/><Relationship Type="http://schemas.openxmlformats.org/officeDocument/2006/relationships/hyperlink" Target="https://ozonteh.net/product/presa-de-balotat-dreptunghiulara-shaktiman-sbm/" TargetMode="External" Id="rId123"/><Relationship Type="http://schemas.openxmlformats.org/officeDocument/2006/relationships/hyperlink" Target="https://docs.google.com/spreadsheets/d/1MCTFjXoM_mGVDlqhaXWZSr_G-Lvej17VS0nYWIfdhy4/edit?usp=sharing" TargetMode="External" Id="rId124"/><Relationship Type="http://schemas.openxmlformats.org/officeDocument/2006/relationships/hyperlink" Target="https://ozonteh.net/product/burghiu-shaktiman-sphd/" TargetMode="External" Id="rId125"/><Relationship Type="http://schemas.openxmlformats.org/officeDocument/2006/relationships/hyperlink" Target="https://docs.google.com/spreadsheets/d/13VjtDUw9wO8bEjlKJ60Ymb9W_JPt4wi1dWE2BFiXKiw/edit?usp=sharing" TargetMode="External" Id="rId126"/><Relationship Type="http://schemas.openxmlformats.org/officeDocument/2006/relationships/hyperlink" Target="https://ozonteh.net/product/amestecator-vertical-de-furaje-svfm/" TargetMode="External" Id="rId127"/><Relationship Type="http://schemas.openxmlformats.org/officeDocument/2006/relationships/hyperlink" Target="https://docs.google.com/spreadsheets/d/1w7p677Zqlk6XRdp7aWUHA1TFt30-ZcduiYVK-EJYCbM/edit?usp=sharing" TargetMode="External" Id="rId128"/><Relationship Type="http://schemas.openxmlformats.org/officeDocument/2006/relationships/hyperlink" Target="https://ozonteh.net/product/amestecator-vertical-de-furaje-svfm/" TargetMode="External" Id="rId129"/><Relationship Type="http://schemas.openxmlformats.org/officeDocument/2006/relationships/hyperlink" Target="https://docs.google.com/spreadsheets/d/1uhZ12hbRTQN_IwzmosjwUnwIx3ku9mHqyoMptGskTyg/edit?usp=sharing" TargetMode="External" Id="rId130"/><Relationship Type="http://schemas.openxmlformats.org/officeDocument/2006/relationships/hyperlink" Target="https://ozonteh.net/product/imprastietor-de-compost-shcs-shaktiman/" TargetMode="External" Id="rId131"/><Relationship Type="http://schemas.openxmlformats.org/officeDocument/2006/relationships/hyperlink" Target="https://docs.google.com/spreadsheets/d/1ghi-_j0LE8KD6tGJ4LraacfsPBdycObeCW-T3J0ivGE/edit?usp=sharing" TargetMode="External" Id="rId132"/><Relationship Type="http://schemas.openxmlformats.org/officeDocument/2006/relationships/drawing" Target="/xl/drawings/drawing1.xml" Id="rId133"/></Relationships>
</file>

<file path=xl/worksheets/_rels/sheet2.xml.rels><Relationships xmlns="http://schemas.openxmlformats.org/package/2006/relationships"><Relationship Type="http://schemas.openxmlformats.org/officeDocument/2006/relationships/hyperlink" Target="https://ozonteh.net/" TargetMode="External" Id="rId1"/><Relationship Type="http://schemas.openxmlformats.org/officeDocument/2006/relationships/hyperlink" Target="https://ozonteh.net/" TargetMode="External" Id="rId2"/><Relationship Type="http://schemas.openxmlformats.org/officeDocument/2006/relationships/drawing" Target="/xl/drawings/drawing2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8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50" customWidth="1" min="3" max="3"/>
    <col width="13" customWidth="1" min="4" max="4"/>
    <col width="13" customWidth="1" min="5" max="5"/>
    <col width="15" customWidth="1" min="6" max="6"/>
    <col width="22" customWidth="1" min="7" max="7"/>
    <col width="15" customWidth="1" min="8" max="8"/>
    <col width="16" customWidth="1" min="9" max="9"/>
  </cols>
  <sheetData>
    <row r="1" ht="28" customHeight="1">
      <c r="C1" s="1" t="inlineStr">
        <is>
          <t>LISTA DE PREȚURI</t>
        </is>
      </c>
    </row>
    <row r="2" ht="16" customHeight="1">
      <c r="C2" s="2" t="inlineStr">
        <is>
          <t>Tehnică agricolă Shaktiman</t>
        </is>
      </c>
    </row>
    <row r="3" ht="20" customHeight="1">
      <c r="C3" s="3" t="inlineStr">
        <is>
          <t>Prețuri în EUR, fără TVA</t>
        </is>
      </c>
      <c r="E3" s="4" t="inlineStr">
        <is>
          <t>Curs EUR/MDL:</t>
        </is>
      </c>
      <c r="F3" s="5" t="n">
        <v>20.1</v>
      </c>
      <c r="G3" s="6" t="inlineStr">
        <is>
          <t>Actualizat: 13.10.2026</t>
        </is>
      </c>
    </row>
    <row r="4" ht="28" customHeight="1">
      <c r="A4" s="7" t="inlineStr">
        <is>
          <t>Nr.</t>
        </is>
      </c>
      <c r="B4" s="7" t="inlineStr">
        <is>
          <t>Foto</t>
        </is>
      </c>
      <c r="C4" s="8" t="inlineStr">
        <is>
          <t xml:space="preserve">  Denumire produs</t>
        </is>
      </c>
      <c r="D4" s="7" t="inlineStr">
        <is>
          <t>Preț EUR
(fără TVA)</t>
        </is>
      </c>
      <c r="E4" s="7" t="inlineStr">
        <is>
          <t>Preț promo
EUR</t>
        </is>
      </c>
      <c r="F4" s="7" t="inlineStr">
        <is>
          <t>Preț MDL*
(fără TVA)</t>
        </is>
      </c>
      <c r="G4" s="7" t="inlineStr">
        <is>
          <t>Notă</t>
        </is>
      </c>
      <c r="H4" s="7" t="inlineStr">
        <is>
          <t>Pagina
produsului</t>
        </is>
      </c>
      <c r="I4" s="7" t="inlineStr">
        <is>
          <t>Ofertă
comercială</t>
        </is>
      </c>
    </row>
    <row r="5" ht="24" customHeight="1">
      <c r="A5" s="9" t="inlineStr">
        <is>
          <t xml:space="preserve">  TOCĂTOARE DE RESTURI VEGETALE  ·  27 modele</t>
        </is>
      </c>
    </row>
    <row r="6" ht="46" customHeight="1">
      <c r="A6" s="10" t="n">
        <v>1</v>
      </c>
      <c r="B6" s="11" t="n"/>
      <c r="C6" s="12" t="inlineStr">
        <is>
          <t>Tocător lateral Shaktiman AFM 160</t>
        </is>
      </c>
      <c r="D6" s="13" t="n">
        <v>4900</v>
      </c>
      <c r="E6" s="11" t="n"/>
      <c r="F6" s="14">
        <f>IF(ISNUMBER(E6),ROUND(E6*Curs,0),IF(ISNUMBER(D6),ROUND(D6*Curs,0),"La cerere"))</f>
        <v/>
      </c>
      <c r="G6" s="15" t="n"/>
      <c r="H6" s="16" t="inlineStr">
        <is>
          <t>Vezi pe site</t>
        </is>
      </c>
      <c r="I6" s="16" t="inlineStr">
        <is>
          <t>Deschide oferta</t>
        </is>
      </c>
    </row>
    <row r="7" ht="46" customHeight="1">
      <c r="A7" s="10" t="n">
        <v>2</v>
      </c>
      <c r="B7" s="11" t="n"/>
      <c r="C7" s="12" t="inlineStr">
        <is>
          <t>Tocător lateral Shaktiman AFM 180</t>
        </is>
      </c>
      <c r="D7" s="13" t="n">
        <v>5200</v>
      </c>
      <c r="E7" s="11" t="n"/>
      <c r="F7" s="14">
        <f>IF(ISNUMBER(E7),ROUND(E7*Curs,0),IF(ISNUMBER(D7),ROUND(D7*Curs,0),"La cerere"))</f>
        <v/>
      </c>
      <c r="G7" s="15" t="n"/>
      <c r="H7" s="16" t="inlineStr">
        <is>
          <t>Vezi pe site</t>
        </is>
      </c>
      <c r="I7" s="16" t="inlineStr">
        <is>
          <t>Deschide oferta</t>
        </is>
      </c>
    </row>
    <row r="8" ht="46" customHeight="1">
      <c r="A8" s="10" t="n">
        <v>3</v>
      </c>
      <c r="B8" s="11" t="n"/>
      <c r="C8" s="12" t="inlineStr">
        <is>
          <t>Tocător serie medie Shaktiman BMF 1.45</t>
        </is>
      </c>
      <c r="D8" s="13" t="n">
        <v>2800</v>
      </c>
      <c r="E8" s="11" t="n"/>
      <c r="F8" s="14">
        <f>IF(ISNUMBER(E8),ROUND(E8*Curs,0),IF(ISNUMBER(D8),ROUND(D8*Curs,0),"La cerere"))</f>
        <v/>
      </c>
      <c r="G8" s="15" t="n"/>
      <c r="H8" s="16" t="inlineStr">
        <is>
          <t>Vezi pe site</t>
        </is>
      </c>
      <c r="I8" s="16" t="inlineStr">
        <is>
          <t>Deschide oferta</t>
        </is>
      </c>
    </row>
    <row r="9" ht="46" customHeight="1">
      <c r="A9" s="10" t="n">
        <v>4</v>
      </c>
      <c r="B9" s="11" t="n"/>
      <c r="C9" s="12" t="inlineStr">
        <is>
          <t>Tocător serie medie Shaktiman BMF 1.60</t>
        </is>
      </c>
      <c r="D9" s="13" t="n">
        <v>3200</v>
      </c>
      <c r="E9" s="11" t="n"/>
      <c r="F9" s="14">
        <f>IF(ISNUMBER(E9),ROUND(E9*Curs,0),IF(ISNUMBER(D9),ROUND(D9*Curs,0),"La cerere"))</f>
        <v/>
      </c>
      <c r="G9" s="15" t="n"/>
      <c r="H9" s="16" t="inlineStr">
        <is>
          <t>Vezi pe site</t>
        </is>
      </c>
      <c r="I9" s="16" t="inlineStr">
        <is>
          <t>Deschide oferta</t>
        </is>
      </c>
    </row>
    <row r="10" ht="46" customHeight="1">
      <c r="A10" s="10" t="n">
        <v>5</v>
      </c>
      <c r="B10" s="11" t="n"/>
      <c r="C10" s="12" t="inlineStr">
        <is>
          <t>Tocător serie medie Shaktiman BMF 1.80</t>
        </is>
      </c>
      <c r="D10" s="13" t="n">
        <v>3400</v>
      </c>
      <c r="E10" s="11" t="n"/>
      <c r="F10" s="14">
        <f>IF(ISNUMBER(E10),ROUND(E10*Curs,0),IF(ISNUMBER(D10),ROUND(D10*Curs,0),"La cerere"))</f>
        <v/>
      </c>
      <c r="G10" s="15" t="n"/>
      <c r="H10" s="16" t="inlineStr">
        <is>
          <t>Vezi pe site</t>
        </is>
      </c>
      <c r="I10" s="16" t="inlineStr">
        <is>
          <t>Deschide oferta</t>
        </is>
      </c>
    </row>
    <row r="11" ht="46" customHeight="1">
      <c r="A11" s="10" t="n">
        <v>6</v>
      </c>
      <c r="B11" s="11" t="n"/>
      <c r="C11" s="12" t="inlineStr">
        <is>
          <t>Tocător serie medie Shaktiman BMF 2.00</t>
        </is>
      </c>
      <c r="D11" s="13" t="n">
        <v>3600</v>
      </c>
      <c r="E11" s="11" t="n"/>
      <c r="F11" s="14">
        <f>IF(ISNUMBER(E11),ROUND(E11*Curs,0),IF(ISNUMBER(D11),ROUND(D11*Curs,0),"La cerere"))</f>
        <v/>
      </c>
      <c r="G11" s="15" t="n"/>
      <c r="H11" s="16" t="inlineStr">
        <is>
          <t>Vezi pe site</t>
        </is>
      </c>
      <c r="I11" s="16" t="inlineStr">
        <is>
          <t>Deschide oferta</t>
        </is>
      </c>
    </row>
    <row r="12" ht="46" customHeight="1">
      <c r="A12" s="10" t="n">
        <v>7</v>
      </c>
      <c r="B12" s="11" t="n"/>
      <c r="C12" s="12" t="inlineStr">
        <is>
          <t>Tocător serie medie Shaktiman BMF 2.20</t>
        </is>
      </c>
      <c r="D12" s="13" t="n">
        <v>4000</v>
      </c>
      <c r="E12" s="11" t="n"/>
      <c r="F12" s="14">
        <f>IF(ISNUMBER(E12),ROUND(E12*Curs,0),IF(ISNUMBER(D12),ROUND(D12*Curs,0),"La cerere"))</f>
        <v/>
      </c>
      <c r="G12" s="15" t="n"/>
      <c r="H12" s="16" t="inlineStr">
        <is>
          <t>Vezi pe site</t>
        </is>
      </c>
      <c r="I12" s="16" t="inlineStr">
        <is>
          <t>Deschide oferta</t>
        </is>
      </c>
    </row>
    <row r="13" ht="46" customHeight="1">
      <c r="A13" s="10" t="n">
        <v>8</v>
      </c>
      <c r="B13" s="11" t="n"/>
      <c r="C13" s="12" t="inlineStr">
        <is>
          <t>Tocător serie grea Shaktiman BPF 1.60</t>
        </is>
      </c>
      <c r="D13" s="13" t="n">
        <v>4000</v>
      </c>
      <c r="E13" s="11" t="n"/>
      <c r="F13" s="14">
        <f>IF(ISNUMBER(E13),ROUND(E13*Curs,0),IF(ISNUMBER(D13),ROUND(D13*Curs,0),"La cerere"))</f>
        <v/>
      </c>
      <c r="G13" s="15" t="n"/>
      <c r="H13" s="16" t="inlineStr">
        <is>
          <t>Vezi pe site</t>
        </is>
      </c>
      <c r="I13" s="16" t="inlineStr">
        <is>
          <t>Deschide oferta</t>
        </is>
      </c>
    </row>
    <row r="14" ht="46" customHeight="1">
      <c r="A14" s="10" t="n">
        <v>9</v>
      </c>
      <c r="B14" s="11" t="n"/>
      <c r="C14" s="12" t="inlineStr">
        <is>
          <t>Tocător serie grea Shaktiman BPF 1.80</t>
        </is>
      </c>
      <c r="D14" s="13" t="n">
        <v>4200</v>
      </c>
      <c r="E14" s="11" t="n"/>
      <c r="F14" s="14">
        <f>IF(ISNUMBER(E14),ROUND(E14*Curs,0),IF(ISNUMBER(D14),ROUND(D14*Curs,0),"La cerere"))</f>
        <v/>
      </c>
      <c r="G14" s="15" t="n"/>
      <c r="H14" s="16" t="inlineStr">
        <is>
          <t>Vezi pe site</t>
        </is>
      </c>
      <c r="I14" s="16" t="inlineStr">
        <is>
          <t>Deschide oferta</t>
        </is>
      </c>
    </row>
    <row r="15" ht="46" customHeight="1">
      <c r="A15" s="10" t="n">
        <v>10</v>
      </c>
      <c r="B15" s="11" t="n"/>
      <c r="C15" s="12" t="inlineStr">
        <is>
          <t>Tocător serie grea Shaktiman BPF 2.00</t>
        </is>
      </c>
      <c r="D15" s="13" t="n">
        <v>4400</v>
      </c>
      <c r="E15" s="11" t="n"/>
      <c r="F15" s="14">
        <f>IF(ISNUMBER(E15),ROUND(E15*Curs,0),IF(ISNUMBER(D15),ROUND(D15*Curs,0),"La cerere"))</f>
        <v/>
      </c>
      <c r="G15" s="15" t="n"/>
      <c r="H15" s="16" t="inlineStr">
        <is>
          <t>Vezi pe site</t>
        </is>
      </c>
      <c r="I15" s="16" t="inlineStr">
        <is>
          <t>Deschide oferta</t>
        </is>
      </c>
    </row>
    <row r="16" ht="46" customHeight="1">
      <c r="A16" s="10" t="n">
        <v>11</v>
      </c>
      <c r="B16" s="11" t="n"/>
      <c r="C16" s="12" t="inlineStr">
        <is>
          <t>Tocător serie grea Shaktiman BPF 2.80</t>
        </is>
      </c>
      <c r="D16" s="13" t="n">
        <v>5800</v>
      </c>
      <c r="E16" s="11" t="n"/>
      <c r="F16" s="14">
        <f>IF(ISNUMBER(E16),ROUND(E16*Curs,0),IF(ISNUMBER(D16),ROUND(D16*Curs,0),"La cerere"))</f>
        <v/>
      </c>
      <c r="G16" s="15" t="n"/>
      <c r="H16" s="16" t="inlineStr">
        <is>
          <t>Vezi pe site</t>
        </is>
      </c>
      <c r="I16" s="17" t="inlineStr">
        <is>
          <t>—</t>
        </is>
      </c>
    </row>
    <row r="17" ht="46" customHeight="1">
      <c r="A17" s="10" t="n">
        <v>12</v>
      </c>
      <c r="B17" s="11" t="n"/>
      <c r="C17" s="12" t="inlineStr">
        <is>
          <t>Tocător cu ridicare Shaktiman SPFM 1.55M</t>
        </is>
      </c>
      <c r="D17" s="13" t="n">
        <v>4600</v>
      </c>
      <c r="E17" s="11" t="n"/>
      <c r="F17" s="14">
        <f>IF(ISNUMBER(E17),ROUND(E17*Curs,0),IF(ISNUMBER(D17),ROUND(D17*Curs,0),"La cerere"))</f>
        <v/>
      </c>
      <c r="G17" s="15" t="n"/>
      <c r="H17" s="16" t="inlineStr">
        <is>
          <t>Vezi pe site</t>
        </is>
      </c>
      <c r="I17" s="16" t="inlineStr">
        <is>
          <t>Deschide oferta</t>
        </is>
      </c>
    </row>
    <row r="18" ht="46" customHeight="1">
      <c r="A18" s="10" t="n">
        <v>13</v>
      </c>
      <c r="B18" s="11" t="n"/>
      <c r="C18" s="12" t="inlineStr">
        <is>
          <t>Tocător cu ridicare Shaktiman SPFM 1.75M</t>
        </is>
      </c>
      <c r="D18" s="13" t="n">
        <v>5150</v>
      </c>
      <c r="E18" s="11" t="n"/>
      <c r="F18" s="14">
        <f>IF(ISNUMBER(E18),ROUND(E18*Curs,0),IF(ISNUMBER(D18),ROUND(D18*Curs,0),"La cerere"))</f>
        <v/>
      </c>
      <c r="G18" s="15" t="n"/>
      <c r="H18" s="16" t="inlineStr">
        <is>
          <t>Vezi pe site</t>
        </is>
      </c>
      <c r="I18" s="16" t="inlineStr">
        <is>
          <t>Deschide oferta</t>
        </is>
      </c>
    </row>
    <row r="19" ht="46" customHeight="1">
      <c r="A19" s="10" t="n">
        <v>14</v>
      </c>
      <c r="B19" s="11" t="n"/>
      <c r="C19" s="12" t="inlineStr">
        <is>
          <t>Tocător cu descărcare laterală Shaktiman SDFM</t>
        </is>
      </c>
      <c r="D19" s="13" t="n">
        <v>2000</v>
      </c>
      <c r="E19" s="11" t="n"/>
      <c r="F19" s="14">
        <f>IF(ISNUMBER(E19),ROUND(E19*Curs,0),IF(ISNUMBER(D19),ROUND(D19*Curs,0),"La cerere"))</f>
        <v/>
      </c>
      <c r="G19" s="15" t="n"/>
      <c r="H19" s="16" t="inlineStr">
        <is>
          <t>Vezi pe site</t>
        </is>
      </c>
      <c r="I19" s="16" t="inlineStr">
        <is>
          <t>Deschide oferta</t>
        </is>
      </c>
    </row>
    <row r="20" ht="46" customHeight="1">
      <c r="A20" s="10" t="n">
        <v>15</v>
      </c>
      <c r="B20" s="11" t="n"/>
      <c r="C20" s="12" t="inlineStr">
        <is>
          <t>Tocător serie ultra-ușoară Shaktiman BMA 135</t>
        </is>
      </c>
      <c r="D20" s="13" t="n">
        <v>1200</v>
      </c>
      <c r="E20" s="11" t="n"/>
      <c r="F20" s="14">
        <f>IF(ISNUMBER(E20),ROUND(E20*Curs,0),IF(ISNUMBER(D20),ROUND(D20*Curs,0),"La cerere"))</f>
        <v/>
      </c>
      <c r="G20" s="15" t="n"/>
      <c r="H20" s="16" t="inlineStr">
        <is>
          <t>Vezi pe site</t>
        </is>
      </c>
      <c r="I20" s="16" t="inlineStr">
        <is>
          <t>Deschide oferta</t>
        </is>
      </c>
    </row>
    <row r="21" ht="46" customHeight="1">
      <c r="A21" s="10" t="n">
        <v>16</v>
      </c>
      <c r="B21" s="11" t="n"/>
      <c r="C21" s="12" t="inlineStr">
        <is>
          <t>Tocător serie ultra-ușoară Shaktiman BMA 115</t>
        </is>
      </c>
      <c r="D21" s="18" t="inlineStr">
        <is>
          <t>La cerere</t>
        </is>
      </c>
      <c r="E21" s="11" t="n"/>
      <c r="F21" s="14">
        <f>IF(ISNUMBER(E21),ROUND(E21*Curs,0),IF(ISNUMBER(D21),ROUND(D21*Curs,0),"La cerere"))</f>
        <v/>
      </c>
      <c r="G21" s="15" t="n"/>
      <c r="H21" s="16" t="inlineStr">
        <is>
          <t>Vezi pe site</t>
        </is>
      </c>
      <c r="I21" s="16" t="inlineStr">
        <is>
          <t>Deschide oferta</t>
        </is>
      </c>
    </row>
    <row r="22" ht="46" customHeight="1">
      <c r="A22" s="10" t="n">
        <v>17</v>
      </c>
      <c r="B22" s="11" t="n"/>
      <c r="C22" s="12" t="inlineStr">
        <is>
          <t>Tocător serie ușoară Shaktiman SFM-L 0.85</t>
        </is>
      </c>
      <c r="D22" s="13" t="n">
        <v>1100</v>
      </c>
      <c r="E22" s="11" t="n"/>
      <c r="F22" s="14">
        <f>IF(ISNUMBER(E22),ROUND(E22*Curs,0),IF(ISNUMBER(D22),ROUND(D22*Curs,0),"La cerere"))</f>
        <v/>
      </c>
      <c r="G22" s="15" t="n"/>
      <c r="H22" s="16" t="inlineStr">
        <is>
          <t>Vezi pe site</t>
        </is>
      </c>
      <c r="I22" s="17" t="inlineStr">
        <is>
          <t>—</t>
        </is>
      </c>
    </row>
    <row r="23" ht="46" customHeight="1">
      <c r="A23" s="10" t="n">
        <v>18</v>
      </c>
      <c r="B23" s="11" t="n"/>
      <c r="C23" s="12" t="inlineStr">
        <is>
          <t>Tocător serie ușoară Shaktiman SFM-L 1.05</t>
        </is>
      </c>
      <c r="D23" s="13" t="n">
        <v>1300</v>
      </c>
      <c r="E23" s="11" t="n"/>
      <c r="F23" s="14">
        <f>IF(ISNUMBER(E23),ROUND(E23*Curs,0),IF(ISNUMBER(D23),ROUND(D23*Curs,0),"La cerere"))</f>
        <v/>
      </c>
      <c r="G23" s="15" t="n"/>
      <c r="H23" s="16" t="inlineStr">
        <is>
          <t>Vezi pe site</t>
        </is>
      </c>
      <c r="I23" s="17" t="inlineStr">
        <is>
          <t>—</t>
        </is>
      </c>
    </row>
    <row r="24" ht="46" customHeight="1">
      <c r="A24" s="10" t="n">
        <v>19</v>
      </c>
      <c r="B24" s="11" t="n"/>
      <c r="C24" s="12" t="inlineStr">
        <is>
          <t>Tocător serie ușoară Shaktiman SFM-L 1.25</t>
        </is>
      </c>
      <c r="D24" s="13" t="n">
        <v>1400</v>
      </c>
      <c r="E24" s="11" t="n"/>
      <c r="F24" s="14">
        <f>IF(ISNUMBER(E24),ROUND(E24*Curs,0),IF(ISNUMBER(D24),ROUND(D24*Curs,0),"La cerere"))</f>
        <v/>
      </c>
      <c r="G24" s="15" t="n"/>
      <c r="H24" s="16" t="inlineStr">
        <is>
          <t>Vezi pe site</t>
        </is>
      </c>
      <c r="I24" s="16" t="inlineStr">
        <is>
          <t>Deschide oferta</t>
        </is>
      </c>
    </row>
    <row r="25" ht="46" customHeight="1">
      <c r="A25" s="10" t="n">
        <v>20</v>
      </c>
      <c r="B25" s="11" t="n"/>
      <c r="C25" s="12" t="inlineStr">
        <is>
          <t>Tocător serie ușoară Shaktiman SFM-L 1.45</t>
        </is>
      </c>
      <c r="D25" s="13" t="n">
        <v>1600</v>
      </c>
      <c r="E25" s="11" t="n"/>
      <c r="F25" s="14">
        <f>IF(ISNUMBER(E25),ROUND(E25*Curs,0),IF(ISNUMBER(D25),ROUND(D25*Curs,0),"La cerere"))</f>
        <v/>
      </c>
      <c r="G25" s="15" t="n"/>
      <c r="H25" s="16" t="inlineStr">
        <is>
          <t>Vezi pe site</t>
        </is>
      </c>
      <c r="I25" s="16" t="inlineStr">
        <is>
          <t>Deschide oferta</t>
        </is>
      </c>
    </row>
    <row r="26" ht="46" customHeight="1">
      <c r="A26" s="10" t="n">
        <v>21</v>
      </c>
      <c r="B26" s="11" t="n"/>
      <c r="C26" s="12" t="inlineStr">
        <is>
          <t>Tocător serie ușoară Shaktiman SFM-L 1.65</t>
        </is>
      </c>
      <c r="D26" s="13" t="n">
        <v>1800</v>
      </c>
      <c r="E26" s="11" t="n"/>
      <c r="F26" s="14">
        <f>IF(ISNUMBER(E26),ROUND(E26*Curs,0),IF(ISNUMBER(D26),ROUND(D26*Curs,0),"La cerere"))</f>
        <v/>
      </c>
      <c r="G26" s="15" t="n"/>
      <c r="H26" s="16" t="inlineStr">
        <is>
          <t>Vezi pe site</t>
        </is>
      </c>
      <c r="I26" s="16" t="inlineStr">
        <is>
          <t>Deschide oferta</t>
        </is>
      </c>
    </row>
    <row r="27" ht="46" customHeight="1">
      <c r="A27" s="10" t="n">
        <v>22</v>
      </c>
      <c r="B27" s="11" t="n"/>
      <c r="C27" s="12" t="inlineStr">
        <is>
          <t>Tocător serie semi-ușoară Shaktiman SFM 130</t>
        </is>
      </c>
      <c r="D27" s="13" t="n">
        <v>2300</v>
      </c>
      <c r="E27" s="11" t="n"/>
      <c r="F27" s="14">
        <f>IF(ISNUMBER(E27),ROUND(E27*Curs,0),IF(ISNUMBER(D27),ROUND(D27*Curs,0),"La cerere"))</f>
        <v/>
      </c>
      <c r="G27" s="15" t="n"/>
      <c r="H27" s="16" t="inlineStr">
        <is>
          <t>Vezi pe site</t>
        </is>
      </c>
      <c r="I27" s="16" t="inlineStr">
        <is>
          <t>Deschide oferta</t>
        </is>
      </c>
    </row>
    <row r="28" ht="46" customHeight="1">
      <c r="A28" s="10" t="n">
        <v>23</v>
      </c>
      <c r="B28" s="11" t="n"/>
      <c r="C28" s="12" t="inlineStr">
        <is>
          <t>Tocător serie semi-ușoară Shaktiman SFM 145</t>
        </is>
      </c>
      <c r="D28" s="13" t="n">
        <v>2450</v>
      </c>
      <c r="E28" s="11" t="n"/>
      <c r="F28" s="14">
        <f>IF(ISNUMBER(E28),ROUND(E28*Curs,0),IF(ISNUMBER(D28),ROUND(D28*Curs,0),"La cerere"))</f>
        <v/>
      </c>
      <c r="G28" s="15" t="n"/>
      <c r="H28" s="16" t="inlineStr">
        <is>
          <t>Vezi pe site</t>
        </is>
      </c>
      <c r="I28" s="16" t="inlineStr">
        <is>
          <t>Deschide oferta</t>
        </is>
      </c>
    </row>
    <row r="29" ht="46" customHeight="1">
      <c r="A29" s="10" t="n">
        <v>24</v>
      </c>
      <c r="B29" s="11" t="n"/>
      <c r="C29" s="12" t="inlineStr">
        <is>
          <t>Tocător serie semi-ușoară Shaktiman SFM 160</t>
        </is>
      </c>
      <c r="D29" s="13" t="n">
        <v>2550</v>
      </c>
      <c r="E29" s="11" t="n"/>
      <c r="F29" s="14">
        <f>IF(ISNUMBER(E29),ROUND(E29*Curs,0),IF(ISNUMBER(D29),ROUND(D29*Curs,0),"La cerere"))</f>
        <v/>
      </c>
      <c r="G29" s="15" t="n"/>
      <c r="H29" s="16" t="inlineStr">
        <is>
          <t>Vezi pe site</t>
        </is>
      </c>
      <c r="I29" s="16" t="inlineStr">
        <is>
          <t>Deschide oferta</t>
        </is>
      </c>
    </row>
    <row r="30" ht="46" customHeight="1">
      <c r="A30" s="10" t="n">
        <v>25</v>
      </c>
      <c r="B30" s="11" t="n"/>
      <c r="C30" s="12" t="inlineStr">
        <is>
          <t>Tocător serie semi-ușoară Shaktiman SFM 175</t>
        </is>
      </c>
      <c r="D30" s="13" t="n">
        <v>2850</v>
      </c>
      <c r="E30" s="11" t="n"/>
      <c r="F30" s="14">
        <f>IF(ISNUMBER(E30),ROUND(E30*Curs,0),IF(ISNUMBER(D30),ROUND(D30*Curs,0),"La cerere"))</f>
        <v/>
      </c>
      <c r="G30" s="15" t="n"/>
      <c r="H30" s="16" t="inlineStr">
        <is>
          <t>Vezi pe site</t>
        </is>
      </c>
      <c r="I30" s="16" t="inlineStr">
        <is>
          <t>Deschide oferta</t>
        </is>
      </c>
    </row>
    <row r="31" ht="46" customHeight="1">
      <c r="A31" s="10" t="n">
        <v>26</v>
      </c>
      <c r="B31" s="11" t="n"/>
      <c r="C31" s="12" t="inlineStr">
        <is>
          <t>Tocător serie semi-ușoară Shaktiman SFM 220</t>
        </is>
      </c>
      <c r="D31" s="13" t="n">
        <v>3100</v>
      </c>
      <c r="E31" s="11" t="n"/>
      <c r="F31" s="14">
        <f>IF(ISNUMBER(E31),ROUND(E31*Curs,0),IF(ISNUMBER(D31),ROUND(D31*Curs,0),"La cerere"))</f>
        <v/>
      </c>
      <c r="G31" s="15" t="n"/>
      <c r="H31" s="16" t="inlineStr">
        <is>
          <t>Vezi pe site</t>
        </is>
      </c>
      <c r="I31" s="16" t="inlineStr">
        <is>
          <t>Deschide oferta</t>
        </is>
      </c>
    </row>
    <row r="32" ht="46" customHeight="1">
      <c r="A32" s="10" t="n">
        <v>27</v>
      </c>
      <c r="B32" s="11" t="n"/>
      <c r="C32" s="12" t="inlineStr">
        <is>
          <t>Tocător de furaje verzi / crengi Shaktiman 12 SM</t>
        </is>
      </c>
      <c r="D32" s="13" t="n">
        <v>3500</v>
      </c>
      <c r="E32" s="11" t="n"/>
      <c r="F32" s="14">
        <f>IF(ISNUMBER(E32),ROUND(E32*Curs,0),IF(ISNUMBER(D32),ROUND(D32*Curs,0),"La cerere"))</f>
        <v/>
      </c>
      <c r="G32" s="15" t="n"/>
      <c r="H32" s="16" t="inlineStr">
        <is>
          <t>Vezi pe site</t>
        </is>
      </c>
      <c r="I32" s="16" t="inlineStr">
        <is>
          <t>Deschide oferta</t>
        </is>
      </c>
    </row>
    <row r="33" ht="24" customHeight="1">
      <c r="A33" s="9" t="inlineStr">
        <is>
          <t xml:space="preserve">  FREZE DE SOL  ·  22 modele</t>
        </is>
      </c>
    </row>
    <row r="34" ht="46" customHeight="1">
      <c r="A34" s="10" t="n">
        <v>28</v>
      </c>
      <c r="B34" s="11" t="n"/>
      <c r="C34" s="12" t="inlineStr">
        <is>
          <t>Freză rotativă Shaktiman Mini Plus 100</t>
        </is>
      </c>
      <c r="D34" s="13" t="n">
        <v>1050</v>
      </c>
      <c r="E34" s="11" t="n"/>
      <c r="F34" s="14">
        <f>IF(ISNUMBER(E34),ROUND(E34*Curs,0),IF(ISNUMBER(D34),ROUND(D34*Curs,0),"La cerere"))</f>
        <v/>
      </c>
      <c r="G34" s="15" t="n"/>
      <c r="H34" s="16" t="inlineStr">
        <is>
          <t>Vezi pe site</t>
        </is>
      </c>
      <c r="I34" s="16" t="inlineStr">
        <is>
          <t>Deschide oferta</t>
        </is>
      </c>
    </row>
    <row r="35" ht="46" customHeight="1">
      <c r="A35" s="10" t="n">
        <v>29</v>
      </c>
      <c r="B35" s="11" t="n"/>
      <c r="C35" s="12" t="inlineStr">
        <is>
          <t>Freză rotativă Shaktiman Mini Plus 120</t>
        </is>
      </c>
      <c r="D35" s="13" t="n">
        <v>1200</v>
      </c>
      <c r="E35" s="11" t="n"/>
      <c r="F35" s="14">
        <f>IF(ISNUMBER(E35),ROUND(E35*Curs,0),IF(ISNUMBER(D35),ROUND(D35*Curs,0),"La cerere"))</f>
        <v/>
      </c>
      <c r="G35" s="15" t="n"/>
      <c r="H35" s="16" t="inlineStr">
        <is>
          <t>Vezi pe site</t>
        </is>
      </c>
      <c r="I35" s="16" t="inlineStr">
        <is>
          <t>Deschide oferta</t>
        </is>
      </c>
    </row>
    <row r="36" ht="46" customHeight="1">
      <c r="A36" s="10" t="n">
        <v>30</v>
      </c>
      <c r="B36" s="11" t="n"/>
      <c r="C36" s="12" t="inlineStr">
        <is>
          <t>Freză rotativă serie ușoară Shaktiman UL 36</t>
        </is>
      </c>
      <c r="D36" s="13" t="n">
        <v>1300</v>
      </c>
      <c r="E36" s="11" t="n"/>
      <c r="F36" s="14">
        <f>IF(ISNUMBER(E36),ROUND(E36*Curs,0),IF(ISNUMBER(D36),ROUND(D36*Curs,0),"La cerere"))</f>
        <v/>
      </c>
      <c r="G36" s="15" t="n"/>
      <c r="H36" s="16" t="inlineStr">
        <is>
          <t>Vezi pe site</t>
        </is>
      </c>
      <c r="I36" s="16" t="inlineStr">
        <is>
          <t>Deschide oferta</t>
        </is>
      </c>
    </row>
    <row r="37" ht="46" customHeight="1">
      <c r="A37" s="10" t="n">
        <v>31</v>
      </c>
      <c r="B37" s="11" t="n"/>
      <c r="C37" s="12" t="inlineStr">
        <is>
          <t>Freză rotativă serie ușoară Shaktiman UL 42</t>
        </is>
      </c>
      <c r="D37" s="13" t="n">
        <v>1500</v>
      </c>
      <c r="E37" s="11" t="n"/>
      <c r="F37" s="14">
        <f>IF(ISNUMBER(E37),ROUND(E37*Curs,0),IF(ISNUMBER(D37),ROUND(D37*Curs,0),"La cerere"))</f>
        <v/>
      </c>
      <c r="G37" s="15" t="n"/>
      <c r="H37" s="16" t="inlineStr">
        <is>
          <t>Vezi pe site</t>
        </is>
      </c>
      <c r="I37" s="16" t="inlineStr">
        <is>
          <t>Deschide oferta</t>
        </is>
      </c>
    </row>
    <row r="38" ht="46" customHeight="1">
      <c r="A38" s="10" t="n">
        <v>32</v>
      </c>
      <c r="B38" s="11" t="n"/>
      <c r="C38" s="12" t="inlineStr">
        <is>
          <t>Freză rotativă serie medie Shaktiman UM 53</t>
        </is>
      </c>
      <c r="D38" s="13" t="n">
        <v>1650</v>
      </c>
      <c r="E38" s="11" t="n"/>
      <c r="F38" s="14">
        <f>IF(ISNUMBER(E38),ROUND(E38*Curs,0),IF(ISNUMBER(D38),ROUND(D38*Curs,0),"La cerere"))</f>
        <v/>
      </c>
      <c r="G38" s="15" t="n"/>
      <c r="H38" s="16" t="inlineStr">
        <is>
          <t>Vezi pe site</t>
        </is>
      </c>
      <c r="I38" s="16" t="inlineStr">
        <is>
          <t>Deschide oferta</t>
        </is>
      </c>
    </row>
    <row r="39" ht="46" customHeight="1">
      <c r="A39" s="10" t="n">
        <v>33</v>
      </c>
      <c r="B39" s="11" t="n"/>
      <c r="C39" s="12" t="inlineStr">
        <is>
          <t>Freză rotativă serie medie Shaktiman UM 56</t>
        </is>
      </c>
      <c r="D39" s="13" t="n">
        <v>1750</v>
      </c>
      <c r="E39" s="11" t="n"/>
      <c r="F39" s="14">
        <f>IF(ISNUMBER(E39),ROUND(E39*Curs,0),IF(ISNUMBER(D39),ROUND(D39*Curs,0),"La cerere"))</f>
        <v/>
      </c>
      <c r="G39" s="15" t="n"/>
      <c r="H39" s="16" t="inlineStr">
        <is>
          <t>Vezi pe site</t>
        </is>
      </c>
      <c r="I39" s="16" t="inlineStr">
        <is>
          <t>Deschide oferta</t>
        </is>
      </c>
    </row>
    <row r="40" ht="46" customHeight="1">
      <c r="A40" s="10" t="n">
        <v>34</v>
      </c>
      <c r="B40" s="11" t="n"/>
      <c r="C40" s="12" t="inlineStr">
        <is>
          <t>Freză rotativă serie medie Shaktiman UM 60</t>
        </is>
      </c>
      <c r="D40" s="13" t="n">
        <v>1900</v>
      </c>
      <c r="E40" s="11" t="n"/>
      <c r="F40" s="14">
        <f>IF(ISNUMBER(E40),ROUND(E40*Curs,0),IF(ISNUMBER(D40),ROUND(D40*Curs,0),"La cerere"))</f>
        <v/>
      </c>
      <c r="G40" s="15" t="n"/>
      <c r="H40" s="16" t="inlineStr">
        <is>
          <t>Vezi pe site</t>
        </is>
      </c>
      <c r="I40" s="16" t="inlineStr">
        <is>
          <t>Deschide oferta</t>
        </is>
      </c>
    </row>
    <row r="41" ht="46" customHeight="1">
      <c r="A41" s="10" t="n">
        <v>35</v>
      </c>
      <c r="B41" s="11" t="n"/>
      <c r="C41" s="12" t="inlineStr">
        <is>
          <t>Freză rotativă serie medie Shaktiman UM 70</t>
        </is>
      </c>
      <c r="D41" s="13" t="n">
        <v>2000</v>
      </c>
      <c r="E41" s="11" t="n"/>
      <c r="F41" s="14">
        <f>IF(ISNUMBER(E41),ROUND(E41*Curs,0),IF(ISNUMBER(D41),ROUND(D41*Curs,0),"La cerere"))</f>
        <v/>
      </c>
      <c r="G41" s="15" t="n"/>
      <c r="H41" s="16" t="inlineStr">
        <is>
          <t>Vezi pe site</t>
        </is>
      </c>
      <c r="I41" s="16" t="inlineStr">
        <is>
          <t>Deschide oferta</t>
        </is>
      </c>
    </row>
    <row r="42" ht="46" customHeight="1">
      <c r="A42" s="10" t="n">
        <v>36</v>
      </c>
      <c r="B42" s="11" t="n"/>
      <c r="C42" s="12" t="inlineStr">
        <is>
          <t>Freză rotativă serie grea Shaktiman Semi Champion 190</t>
        </is>
      </c>
      <c r="D42" s="13" t="n">
        <v>2100</v>
      </c>
      <c r="E42" s="11" t="n"/>
      <c r="F42" s="14">
        <f>IF(ISNUMBER(E42),ROUND(E42*Curs,0),IF(ISNUMBER(D42),ROUND(D42*Curs,0),"La cerere"))</f>
        <v/>
      </c>
      <c r="G42" s="15" t="n"/>
      <c r="H42" s="16" t="inlineStr">
        <is>
          <t>Vezi pe site</t>
        </is>
      </c>
      <c r="I42" s="16" t="inlineStr">
        <is>
          <t>Deschide oferta</t>
        </is>
      </c>
    </row>
    <row r="43" ht="46" customHeight="1">
      <c r="A43" s="10" t="n">
        <v>37</v>
      </c>
      <c r="B43" s="11" t="n"/>
      <c r="C43" s="12" t="inlineStr">
        <is>
          <t>Freză rotativă serie grea Shaktiman Semi Champion 210</t>
        </is>
      </c>
      <c r="D43" s="13" t="n">
        <v>2300</v>
      </c>
      <c r="E43" s="11" t="n"/>
      <c r="F43" s="14">
        <f>IF(ISNUMBER(E43),ROUND(E43*Curs,0),IF(ISNUMBER(D43),ROUND(D43*Curs,0),"La cerere"))</f>
        <v/>
      </c>
      <c r="G43" s="15" t="n"/>
      <c r="H43" s="16" t="inlineStr">
        <is>
          <t>Vezi pe site</t>
        </is>
      </c>
      <c r="I43" s="16" t="inlineStr">
        <is>
          <t>Deschide oferta</t>
        </is>
      </c>
    </row>
    <row r="44" ht="46" customHeight="1">
      <c r="A44" s="10" t="n">
        <v>38</v>
      </c>
      <c r="B44" s="11" t="n"/>
      <c r="C44" s="12" t="inlineStr">
        <is>
          <t>Freză rotativă serie grea Shaktiman Semi Champion 230</t>
        </is>
      </c>
      <c r="D44" s="13" t="n">
        <v>2500</v>
      </c>
      <c r="E44" s="11" t="n"/>
      <c r="F44" s="14">
        <f>IF(ISNUMBER(E44),ROUND(E44*Curs,0),IF(ISNUMBER(D44),ROUND(D44*Curs,0),"La cerere"))</f>
        <v/>
      </c>
      <c r="G44" s="15" t="n"/>
      <c r="H44" s="16" t="inlineStr">
        <is>
          <t>Vezi pe site</t>
        </is>
      </c>
      <c r="I44" s="16" t="inlineStr">
        <is>
          <t>Deschide oferta</t>
        </is>
      </c>
    </row>
    <row r="45" ht="46" customHeight="1">
      <c r="A45" s="10" t="n">
        <v>39</v>
      </c>
      <c r="B45" s="11" t="n"/>
      <c r="C45" s="12" t="inlineStr">
        <is>
          <t>Freză rotativă serie grea Shaktiman Semi Champion Plus 270</t>
        </is>
      </c>
      <c r="D45" s="13" t="n">
        <v>3500</v>
      </c>
      <c r="E45" s="11" t="n"/>
      <c r="F45" s="14">
        <f>IF(ISNUMBER(E45),ROUND(E45*Curs,0),IF(ISNUMBER(D45),ROUND(D45*Curs,0),"La cerere"))</f>
        <v/>
      </c>
      <c r="G45" s="15" t="n"/>
      <c r="H45" s="16" t="inlineStr">
        <is>
          <t>Vezi pe site</t>
        </is>
      </c>
      <c r="I45" s="16" t="inlineStr">
        <is>
          <t>Deschide oferta</t>
        </is>
      </c>
    </row>
    <row r="46" ht="46" customHeight="1">
      <c r="A46" s="10" t="n">
        <v>40</v>
      </c>
      <c r="B46" s="11" t="n"/>
      <c r="C46" s="12" t="inlineStr">
        <is>
          <t>Freză rotativă serie grea Shaktiman Champion 190</t>
        </is>
      </c>
      <c r="D46" s="13" t="n">
        <v>2300</v>
      </c>
      <c r="E46" s="11" t="n"/>
      <c r="F46" s="14">
        <f>IF(ISNUMBER(E46),ROUND(E46*Curs,0),IF(ISNUMBER(D46),ROUND(D46*Curs,0),"La cerere"))</f>
        <v/>
      </c>
      <c r="G46" s="15" t="n"/>
      <c r="H46" s="16" t="inlineStr">
        <is>
          <t>Vezi pe site</t>
        </is>
      </c>
      <c r="I46" s="16" t="inlineStr">
        <is>
          <t>Deschide oferta</t>
        </is>
      </c>
    </row>
    <row r="47" ht="46" customHeight="1">
      <c r="A47" s="10" t="n">
        <v>41</v>
      </c>
      <c r="B47" s="11" t="n"/>
      <c r="C47" s="12" t="inlineStr">
        <is>
          <t>Freză rotativă serie grea Shaktiman Champion 230</t>
        </is>
      </c>
      <c r="D47" s="13" t="n">
        <v>2600</v>
      </c>
      <c r="E47" s="11" t="n"/>
      <c r="F47" s="14">
        <f>IF(ISNUMBER(E47),ROUND(E47*Curs,0),IF(ISNUMBER(D47),ROUND(D47*Curs,0),"La cerere"))</f>
        <v/>
      </c>
      <c r="G47" s="15" t="n"/>
      <c r="H47" s="16" t="inlineStr">
        <is>
          <t>Vezi pe site</t>
        </is>
      </c>
      <c r="I47" s="16" t="inlineStr">
        <is>
          <t>Deschide oferta</t>
        </is>
      </c>
    </row>
    <row r="48" ht="46" customHeight="1">
      <c r="A48" s="10" t="n">
        <v>42</v>
      </c>
      <c r="B48" s="11" t="n"/>
      <c r="C48" s="12" t="inlineStr">
        <is>
          <t>Freză rotativă cu deplasare Shaktiman VLS 1.35</t>
        </is>
      </c>
      <c r="D48" s="13" t="n">
        <v>2800</v>
      </c>
      <c r="E48" s="11" t="n"/>
      <c r="F48" s="14">
        <f>IF(ISNUMBER(E48),ROUND(E48*Curs,0),IF(ISNUMBER(D48),ROUND(D48*Curs,0),"La cerere"))</f>
        <v/>
      </c>
      <c r="G48" s="15" t="n"/>
      <c r="H48" s="16" t="inlineStr">
        <is>
          <t>Vezi pe site</t>
        </is>
      </c>
      <c r="I48" s="16" t="inlineStr">
        <is>
          <t>Deschide oferta</t>
        </is>
      </c>
    </row>
    <row r="49" ht="46" customHeight="1">
      <c r="A49" s="10" t="n">
        <v>43</v>
      </c>
      <c r="B49" s="11" t="n"/>
      <c r="C49" s="12" t="inlineStr">
        <is>
          <t>Freză rotativă cu deplasare Shaktiman VLS 1.50</t>
        </is>
      </c>
      <c r="D49" s="13" t="n">
        <v>2900</v>
      </c>
      <c r="E49" s="11" t="n"/>
      <c r="F49" s="14">
        <f>IF(ISNUMBER(E49),ROUND(E49*Curs,0),IF(ISNUMBER(D49),ROUND(D49*Curs,0),"La cerere"))</f>
        <v/>
      </c>
      <c r="G49" s="15" t="n"/>
      <c r="H49" s="16" t="inlineStr">
        <is>
          <t>Vezi pe site</t>
        </is>
      </c>
      <c r="I49" s="16" t="inlineStr">
        <is>
          <t>Deschide oferta</t>
        </is>
      </c>
    </row>
    <row r="50" ht="46" customHeight="1">
      <c r="A50" s="10" t="n">
        <v>44</v>
      </c>
      <c r="B50" s="11" t="n"/>
      <c r="C50" s="12" t="inlineStr">
        <is>
          <t>Freză rotativă cu deplasare Shaktiman VLS 1.75</t>
        </is>
      </c>
      <c r="D50" s="13" t="n">
        <v>3000</v>
      </c>
      <c r="E50" s="11" t="n"/>
      <c r="F50" s="14">
        <f>IF(ISNUMBER(E50),ROUND(E50*Curs,0),IF(ISNUMBER(D50),ROUND(D50*Curs,0),"La cerere"))</f>
        <v/>
      </c>
      <c r="G50" s="15" t="n"/>
      <c r="H50" s="16" t="inlineStr">
        <is>
          <t>Vezi pe site</t>
        </is>
      </c>
      <c r="I50" s="17" t="inlineStr">
        <is>
          <t>—</t>
        </is>
      </c>
    </row>
    <row r="51" ht="46" customHeight="1">
      <c r="A51" s="10" t="n">
        <v>45</v>
      </c>
      <c r="B51" s="11" t="n"/>
      <c r="C51" s="12" t="inlineStr">
        <is>
          <t>Freză rotativă cu deplasare Shaktiman VLS 2.00</t>
        </is>
      </c>
      <c r="D51" s="13" t="n">
        <v>3100</v>
      </c>
      <c r="E51" s="11" t="n"/>
      <c r="F51" s="14">
        <f>IF(ISNUMBER(E51),ROUND(E51*Curs,0),IF(ISNUMBER(D51),ROUND(D51*Curs,0),"La cerere"))</f>
        <v/>
      </c>
      <c r="G51" s="15" t="n"/>
      <c r="H51" s="16" t="inlineStr">
        <is>
          <t>Vezi pe site</t>
        </is>
      </c>
      <c r="I51" s="17" t="inlineStr">
        <is>
          <t>—</t>
        </is>
      </c>
    </row>
    <row r="52" ht="46" customHeight="1">
      <c r="A52" s="10" t="n">
        <v>46</v>
      </c>
      <c r="B52" s="11" t="n"/>
      <c r="C52" s="12" t="inlineStr">
        <is>
          <t>Freză rotativă cu deplasare Shaktiman VLS 2.30</t>
        </is>
      </c>
      <c r="D52" s="13" t="n">
        <v>3300</v>
      </c>
      <c r="E52" s="11" t="n"/>
      <c r="F52" s="14">
        <f>IF(ISNUMBER(E52),ROUND(E52*Curs,0),IF(ISNUMBER(D52),ROUND(D52*Curs,0),"La cerere"))</f>
        <v/>
      </c>
      <c r="G52" s="15" t="n"/>
      <c r="H52" s="16" t="inlineStr">
        <is>
          <t>Vezi pe site</t>
        </is>
      </c>
      <c r="I52" s="17" t="inlineStr">
        <is>
          <t>—</t>
        </is>
      </c>
    </row>
    <row r="53" ht="46" customHeight="1">
      <c r="A53" s="10" t="n">
        <v>47</v>
      </c>
      <c r="B53" s="11" t="n"/>
      <c r="C53" s="12" t="inlineStr">
        <is>
          <t>Freză inter-rând (pe două rânduri) Shaktiman IC</t>
        </is>
      </c>
      <c r="D53" s="13" t="n">
        <v>2500</v>
      </c>
      <c r="E53" s="11" t="n"/>
      <c r="F53" s="14">
        <f>IF(ISNUMBER(E53),ROUND(E53*Curs,0),IF(ISNUMBER(D53),ROUND(D53*Curs,0),"La cerere"))</f>
        <v/>
      </c>
      <c r="G53" s="15" t="n"/>
      <c r="H53" s="16" t="inlineStr">
        <is>
          <t>Vezi pe site</t>
        </is>
      </c>
      <c r="I53" s="16" t="inlineStr">
        <is>
          <t>Deschide oferta</t>
        </is>
      </c>
    </row>
    <row r="54" ht="46" customHeight="1">
      <c r="A54" s="10" t="n">
        <v>48</v>
      </c>
      <c r="B54" s="11" t="n"/>
      <c r="C54" s="12" t="inlineStr">
        <is>
          <t>Freză automată cu senzor (cadru flexibil) Shaktiman SRT-55</t>
        </is>
      </c>
      <c r="D54" s="13" t="n">
        <v>2400</v>
      </c>
      <c r="E54" s="11" t="n"/>
      <c r="F54" s="14">
        <f>IF(ISNUMBER(E54),ROUND(E54*Curs,0),IF(ISNUMBER(D54),ROUND(D54*Curs,0),"La cerere"))</f>
        <v/>
      </c>
      <c r="G54" s="15" t="n"/>
      <c r="H54" s="16" t="inlineStr">
        <is>
          <t>Vezi pe site</t>
        </is>
      </c>
      <c r="I54" s="16" t="inlineStr">
        <is>
          <t>Deschide oferta</t>
        </is>
      </c>
    </row>
    <row r="55" ht="46" customHeight="1">
      <c r="A55" s="10" t="n">
        <v>49</v>
      </c>
      <c r="B55" s="11" t="n"/>
      <c r="C55" s="12" t="inlineStr">
        <is>
          <t>Freză automată cu senzor (cadru flexibil) Shaktiman SRT-70</t>
        </is>
      </c>
      <c r="D55" s="13" t="n">
        <v>2600</v>
      </c>
      <c r="E55" s="11" t="n"/>
      <c r="F55" s="14">
        <f>IF(ISNUMBER(E55),ROUND(E55*Curs,0),IF(ISNUMBER(D55),ROUND(D55*Curs,0),"La cerere"))</f>
        <v/>
      </c>
      <c r="G55" s="15" t="n"/>
      <c r="H55" s="16" t="inlineStr">
        <is>
          <t>Vezi pe site</t>
        </is>
      </c>
      <c r="I55" s="16" t="inlineStr">
        <is>
          <t>Deschide oferta</t>
        </is>
      </c>
    </row>
    <row r="56" ht="24" customHeight="1">
      <c r="A56" s="9" t="inlineStr">
        <is>
          <t xml:space="preserve">  GRAPE ROTATIVE  ·  2 modele</t>
        </is>
      </c>
    </row>
    <row r="57" ht="46" customHeight="1">
      <c r="A57" s="10" t="n">
        <v>50</v>
      </c>
      <c r="B57" s="11" t="n"/>
      <c r="C57" s="12" t="inlineStr">
        <is>
          <t>Grapă rotativă (freză verticală) Shaktiman SRP 225</t>
        </is>
      </c>
      <c r="D57" s="13" t="n">
        <v>4000</v>
      </c>
      <c r="E57" s="11" t="n"/>
      <c r="F57" s="14">
        <f>IF(ISNUMBER(E57),ROUND(E57*Curs,0),IF(ISNUMBER(D57),ROUND(D57*Curs,0),"La cerere"))</f>
        <v/>
      </c>
      <c r="G57" s="15" t="n"/>
      <c r="H57" s="16" t="inlineStr">
        <is>
          <t>Vezi pe site</t>
        </is>
      </c>
      <c r="I57" s="16" t="inlineStr">
        <is>
          <t>Deschide oferta</t>
        </is>
      </c>
    </row>
    <row r="58" ht="46" customHeight="1">
      <c r="A58" s="10" t="n">
        <v>51</v>
      </c>
      <c r="B58" s="11" t="n"/>
      <c r="C58" s="12" t="inlineStr">
        <is>
          <t>Grapă rotativă (freză verticală) Shaktiman SRP 250</t>
        </is>
      </c>
      <c r="D58" s="13" t="n">
        <v>4300</v>
      </c>
      <c r="E58" s="11" t="n"/>
      <c r="F58" s="14">
        <f>IF(ISNUMBER(E58),ROUND(E58*Curs,0),IF(ISNUMBER(D58),ROUND(D58*Curs,0),"La cerere"))</f>
        <v/>
      </c>
      <c r="G58" s="15" t="n"/>
      <c r="H58" s="16" t="inlineStr">
        <is>
          <t>Vezi pe site</t>
        </is>
      </c>
      <c r="I58" s="16" t="inlineStr">
        <is>
          <t>Deschide oferta</t>
        </is>
      </c>
    </row>
    <row r="59" ht="24" customHeight="1">
      <c r="A59" s="9" t="inlineStr">
        <is>
          <t xml:space="preserve">  PLUGURI ȘI SCARIFICATOARE  ·  3 modele</t>
        </is>
      </c>
    </row>
    <row r="60" ht="46" customHeight="1">
      <c r="A60" s="10" t="n">
        <v>52</v>
      </c>
      <c r="B60" s="11" t="n"/>
      <c r="C60" s="12" t="inlineStr">
        <is>
          <t>Plug reversibil Shaktiman SMP-2AX</t>
        </is>
      </c>
      <c r="D60" s="13" t="n">
        <v>3200</v>
      </c>
      <c r="E60" s="11" t="n"/>
      <c r="F60" s="14">
        <f>IF(ISNUMBER(E60),ROUND(E60*Curs,0),IF(ISNUMBER(D60),ROUND(D60*Curs,0),"La cerere"))</f>
        <v/>
      </c>
      <c r="G60" s="15" t="n"/>
      <c r="H60" s="16" t="inlineStr">
        <is>
          <t>Vezi pe site</t>
        </is>
      </c>
      <c r="I60" s="16" t="inlineStr">
        <is>
          <t>Deschide oferta</t>
        </is>
      </c>
    </row>
    <row r="61" ht="46" customHeight="1">
      <c r="A61" s="10" t="n">
        <v>53</v>
      </c>
      <c r="B61" s="11" t="n"/>
      <c r="C61" s="12" t="inlineStr">
        <is>
          <t>Plug reversibil Shaktiman SMP-3AX</t>
        </is>
      </c>
      <c r="D61" s="13" t="n">
        <v>3800</v>
      </c>
      <c r="E61" s="11" t="n"/>
      <c r="F61" s="14">
        <f>IF(ISNUMBER(E61),ROUND(E61*Curs,0),IF(ISNUMBER(D61),ROUND(D61*Curs,0),"La cerere"))</f>
        <v/>
      </c>
      <c r="G61" s="15" t="n"/>
      <c r="H61" s="16" t="inlineStr">
        <is>
          <t>Vezi pe site</t>
        </is>
      </c>
      <c r="I61" s="16" t="inlineStr">
        <is>
          <t>Deschide oferta</t>
        </is>
      </c>
    </row>
    <row r="62" ht="46" customHeight="1">
      <c r="A62" s="10" t="n">
        <v>54</v>
      </c>
      <c r="B62" s="11" t="n"/>
      <c r="C62" s="12" t="inlineStr">
        <is>
          <t>Scarificator Shaktiman SDC-5T</t>
        </is>
      </c>
      <c r="D62" s="13" t="n">
        <v>6400</v>
      </c>
      <c r="E62" s="11" t="n"/>
      <c r="F62" s="14">
        <f>IF(ISNUMBER(E62),ROUND(E62*Curs,0),IF(ISNUMBER(D62),ROUND(D62*Curs,0),"La cerere"))</f>
        <v/>
      </c>
      <c r="G62" s="15" t="n"/>
      <c r="H62" s="16" t="inlineStr">
        <is>
          <t>Vezi pe site</t>
        </is>
      </c>
      <c r="I62" s="16" t="inlineStr">
        <is>
          <t>Deschide oferta</t>
        </is>
      </c>
    </row>
    <row r="63" ht="24" customHeight="1">
      <c r="A63" s="9" t="inlineStr">
        <is>
          <t xml:space="preserve">  SEMĂNĂTORI</t>
        </is>
      </c>
    </row>
    <row r="64" ht="46" customHeight="1">
      <c r="A64" s="10" t="n">
        <v>55</v>
      </c>
      <c r="B64" s="11" t="n"/>
      <c r="C64" s="12" t="inlineStr">
        <is>
          <t>Semănătoare pneumatică de precizie Shaktiman SVPP, 4 rânduri</t>
        </is>
      </c>
      <c r="D64" s="13" t="n">
        <v>6600</v>
      </c>
      <c r="E64" s="11" t="n"/>
      <c r="F64" s="14">
        <f>IF(ISNUMBER(E64),ROUND(E64*Curs,0),IF(ISNUMBER(D64),ROUND(D64*Curs,0),"La cerere"))</f>
        <v/>
      </c>
      <c r="G64" s="15" t="n"/>
      <c r="H64" s="16" t="inlineStr">
        <is>
          <t>Vezi pe site</t>
        </is>
      </c>
      <c r="I64" s="16" t="inlineStr">
        <is>
          <t>Deschide oferta</t>
        </is>
      </c>
    </row>
    <row r="65" ht="24" customHeight="1">
      <c r="A65" s="9" t="inlineStr">
        <is>
          <t xml:space="preserve">  COSITORI ȘI GREBLE  ·  5 modele</t>
        </is>
      </c>
    </row>
    <row r="66" ht="46" customHeight="1">
      <c r="A66" s="10" t="n">
        <v>56</v>
      </c>
      <c r="B66" s="11" t="n"/>
      <c r="C66" s="12" t="inlineStr">
        <is>
          <t>Cositoare rotativă cu tambur Shaktiman SDM 165</t>
        </is>
      </c>
      <c r="D66" s="13" t="n">
        <v>1650</v>
      </c>
      <c r="E66" s="19" t="n">
        <v>1500</v>
      </c>
      <c r="F66" s="14">
        <f>IF(ISNUMBER(E66),ROUND(E66*Curs,0),IF(ISNUMBER(D66),ROUND(D66*Curs,0),"La cerere"))</f>
        <v/>
      </c>
      <c r="G66" s="15" t="n"/>
      <c r="H66" s="16" t="inlineStr">
        <is>
          <t>Vezi pe site</t>
        </is>
      </c>
      <c r="I66" s="16" t="inlineStr">
        <is>
          <t>Deschide oferta</t>
        </is>
      </c>
    </row>
    <row r="67" ht="46" customHeight="1">
      <c r="A67" s="10" t="n">
        <v>57</v>
      </c>
      <c r="B67" s="11" t="n"/>
      <c r="C67" s="12" t="inlineStr">
        <is>
          <t>Cositoare plată Shaktiman SRS 1.2</t>
        </is>
      </c>
      <c r="D67" s="13" t="n">
        <v>1200</v>
      </c>
      <c r="E67" s="11" t="n"/>
      <c r="F67" s="14">
        <f>IF(ISNUMBER(E67),ROUND(E67*Curs,0),IF(ISNUMBER(D67),ROUND(D67*Curs,0),"La cerere"))</f>
        <v/>
      </c>
      <c r="G67" s="15" t="n"/>
      <c r="H67" s="16" t="inlineStr">
        <is>
          <t>Vezi pe site</t>
        </is>
      </c>
      <c r="I67" s="16" t="inlineStr">
        <is>
          <t>Deschide oferta</t>
        </is>
      </c>
    </row>
    <row r="68" ht="46" customHeight="1">
      <c r="A68" s="10" t="n">
        <v>58</v>
      </c>
      <c r="B68" s="11" t="n"/>
      <c r="C68" s="12" t="inlineStr">
        <is>
          <t>Cositoare plată Shaktiman SRS 1.5</t>
        </is>
      </c>
      <c r="D68" s="13" t="n">
        <v>1400</v>
      </c>
      <c r="E68" s="11" t="n"/>
      <c r="F68" s="14">
        <f>IF(ISNUMBER(E68),ROUND(E68*Curs,0),IF(ISNUMBER(D68),ROUND(D68*Curs,0),"La cerere"))</f>
        <v/>
      </c>
      <c r="G68" s="15" t="n"/>
      <c r="H68" s="16" t="inlineStr">
        <is>
          <t>Vezi pe site</t>
        </is>
      </c>
      <c r="I68" s="16" t="inlineStr">
        <is>
          <t>Deschide oferta</t>
        </is>
      </c>
    </row>
    <row r="69" ht="46" customHeight="1">
      <c r="A69" s="10" t="n">
        <v>59</v>
      </c>
      <c r="B69" s="11" t="n"/>
      <c r="C69" s="12" t="inlineStr">
        <is>
          <t>Cositoare plată Shaktiman SRS 1.8</t>
        </is>
      </c>
      <c r="D69" s="13" t="n">
        <v>1600</v>
      </c>
      <c r="E69" s="11" t="n"/>
      <c r="F69" s="14">
        <f>IF(ISNUMBER(E69),ROUND(E69*Curs,0),IF(ISNUMBER(D69),ROUND(D69*Curs,0),"La cerere"))</f>
        <v/>
      </c>
      <c r="G69" s="15" t="n"/>
      <c r="H69" s="16" t="inlineStr">
        <is>
          <t>Vezi pe site</t>
        </is>
      </c>
      <c r="I69" s="16" t="inlineStr">
        <is>
          <t>Deschide oferta</t>
        </is>
      </c>
    </row>
    <row r="70" ht="46" customHeight="1">
      <c r="A70" s="10" t="n">
        <v>60</v>
      </c>
      <c r="B70" s="11" t="n"/>
      <c r="C70" s="12" t="inlineStr">
        <is>
          <t>Greblă rotativă cu 4 sori Shaktiman SHR</t>
        </is>
      </c>
      <c r="D70" s="13" t="n">
        <v>550</v>
      </c>
      <c r="E70" s="11" t="n"/>
      <c r="F70" s="14">
        <f>IF(ISNUMBER(E70),ROUND(E70*Curs,0),IF(ISNUMBER(D70),ROUND(D70*Curs,0),"La cerere"))</f>
        <v/>
      </c>
      <c r="G70" s="15" t="n"/>
      <c r="H70" s="16" t="inlineStr">
        <is>
          <t>Vezi pe site</t>
        </is>
      </c>
      <c r="I70" s="16" t="inlineStr">
        <is>
          <t>Deschide oferta</t>
        </is>
      </c>
    </row>
    <row r="71" ht="24" customHeight="1">
      <c r="A71" s="9" t="inlineStr">
        <is>
          <t xml:space="preserve">  PRESE DE BALOTAT  ·  5 modele</t>
        </is>
      </c>
    </row>
    <row r="72" ht="46" customHeight="1">
      <c r="A72" s="10" t="n">
        <v>61</v>
      </c>
      <c r="B72" s="11" t="n"/>
      <c r="C72" s="12" t="inlineStr">
        <is>
          <t>Presă de balotat rotunzi Shaktiman SRB-120</t>
        </is>
      </c>
      <c r="D72" s="13" t="n">
        <v>21500</v>
      </c>
      <c r="E72" s="11" t="n"/>
      <c r="F72" s="14">
        <f>IF(ISNUMBER(E72),ROUND(E72*Curs,0),IF(ISNUMBER(D72),ROUND(D72*Curs,0),"La cerere"))</f>
        <v/>
      </c>
      <c r="G72" s="15" t="n"/>
      <c r="H72" s="16" t="inlineStr">
        <is>
          <t>Vezi pe site</t>
        </is>
      </c>
      <c r="I72" s="16" t="inlineStr">
        <is>
          <t>Deschide oferta</t>
        </is>
      </c>
    </row>
    <row r="73" ht="46" customHeight="1">
      <c r="A73" s="10" t="n">
        <v>62</v>
      </c>
      <c r="B73" s="11" t="n"/>
      <c r="C73" s="12" t="inlineStr">
        <is>
          <t>Presă de balotat rotunzi Shaktiman SRB 60 Plus</t>
        </is>
      </c>
      <c r="D73" s="13" t="n">
        <v>4700</v>
      </c>
      <c r="E73" s="11" t="n"/>
      <c r="F73" s="14">
        <f>IF(ISNUMBER(E73),ROUND(E73*Curs,0),IF(ISNUMBER(D73),ROUND(D73*Curs,0),"La cerere"))</f>
        <v/>
      </c>
      <c r="G73" s="15" t="n"/>
      <c r="H73" s="16" t="inlineStr">
        <is>
          <t>Vezi pe site</t>
        </is>
      </c>
      <c r="I73" s="16" t="inlineStr">
        <is>
          <t>Deschide oferta</t>
        </is>
      </c>
    </row>
    <row r="74" ht="46" customHeight="1">
      <c r="A74" s="10" t="n">
        <v>63</v>
      </c>
      <c r="B74" s="11" t="n"/>
      <c r="C74" s="12" t="inlineStr">
        <is>
          <t>Presă de balotat rotunzi Shaktiman SRB 45</t>
        </is>
      </c>
      <c r="D74" s="13" t="n">
        <v>4400</v>
      </c>
      <c r="E74" s="11" t="n"/>
      <c r="F74" s="14">
        <f>IF(ISNUMBER(E74),ROUND(E74*Curs,0),IF(ISNUMBER(D74),ROUND(D74*Curs,0),"La cerere"))</f>
        <v/>
      </c>
      <c r="G74" s="15" t="n"/>
      <c r="H74" s="16" t="inlineStr">
        <is>
          <t>Vezi pe site</t>
        </is>
      </c>
      <c r="I74" s="16" t="inlineStr">
        <is>
          <t>Deschide oferta</t>
        </is>
      </c>
    </row>
    <row r="75" ht="46" customHeight="1">
      <c r="A75" s="10" t="n">
        <v>64</v>
      </c>
      <c r="B75" s="11" t="n"/>
      <c r="C75" s="12" t="inlineStr">
        <is>
          <t>Presă de balotat rotunzi Shaktiman SRB 45 SL</t>
        </is>
      </c>
      <c r="D75" s="13" t="n">
        <v>4000</v>
      </c>
      <c r="E75" s="11" t="n"/>
      <c r="F75" s="14">
        <f>IF(ISNUMBER(E75),ROUND(E75*Curs,0),IF(ISNUMBER(D75),ROUND(D75*Curs,0),"La cerere"))</f>
        <v/>
      </c>
      <c r="G75" s="15" t="n"/>
      <c r="H75" s="16" t="inlineStr">
        <is>
          <t>Vezi pe site</t>
        </is>
      </c>
      <c r="I75" s="16" t="inlineStr">
        <is>
          <t>Deschide oferta</t>
        </is>
      </c>
    </row>
    <row r="76" ht="46" customHeight="1">
      <c r="A76" s="10" t="n">
        <v>65</v>
      </c>
      <c r="B76" s="11" t="n"/>
      <c r="C76" s="12" t="inlineStr">
        <is>
          <t>Presă de balotat dreptunghiulară Shaktiman SMB 165 Plus</t>
        </is>
      </c>
      <c r="D76" s="13" t="n">
        <v>12500</v>
      </c>
      <c r="E76" s="11" t="n"/>
      <c r="F76" s="14">
        <f>IF(ISNUMBER(E76),ROUND(E76*Curs,0),IF(ISNUMBER(D76),ROUND(D76*Curs,0),"La cerere"))</f>
        <v/>
      </c>
      <c r="G76" s="15" t="n"/>
      <c r="H76" s="16" t="inlineStr">
        <is>
          <t>Vezi pe site</t>
        </is>
      </c>
      <c r="I76" s="16" t="inlineStr">
        <is>
          <t>Deschide oferta</t>
        </is>
      </c>
    </row>
    <row r="77" ht="24" customHeight="1">
      <c r="A77" s="9" t="inlineStr">
        <is>
          <t xml:space="preserve">  ALTE UTILAJE  ·  4 modele</t>
        </is>
      </c>
    </row>
    <row r="78" ht="46" customHeight="1">
      <c r="A78" s="10" t="n">
        <v>66</v>
      </c>
      <c r="B78" s="11" t="n"/>
      <c r="C78" s="12" t="inlineStr">
        <is>
          <t>Burghiu de foraj Shaktiman SPHD 45 / SPHD 60</t>
        </is>
      </c>
      <c r="D78" s="13" t="n">
        <v>1900</v>
      </c>
      <c r="E78" s="11" t="n"/>
      <c r="F78" s="14">
        <f>IF(ISNUMBER(E78),ROUND(E78*Curs,0),IF(ISNUMBER(D78),ROUND(D78*Curs,0),"La cerere"))</f>
        <v/>
      </c>
      <c r="G78" s="15" t="inlineStr">
        <is>
          <t>Cu 2 burghie: 2 300 €</t>
        </is>
      </c>
      <c r="H78" s="16" t="inlineStr">
        <is>
          <t>Vezi pe site</t>
        </is>
      </c>
      <c r="I78" s="16" t="inlineStr">
        <is>
          <t>Deschide oferta</t>
        </is>
      </c>
    </row>
    <row r="79" ht="46" customHeight="1">
      <c r="A79" s="10" t="n">
        <v>67</v>
      </c>
      <c r="B79" s="11" t="n"/>
      <c r="C79" s="12" t="inlineStr">
        <is>
          <t>Mixer pentru furaje Shaktiman SCMF 2,5</t>
        </is>
      </c>
      <c r="D79" s="18" t="inlineStr">
        <is>
          <t>La cerere</t>
        </is>
      </c>
      <c r="E79" s="11" t="n"/>
      <c r="F79" s="14">
        <f>IF(ISNUMBER(E79),ROUND(E79*Curs,0),IF(ISNUMBER(D79),ROUND(D79*Curs,0),"La cerere"))</f>
        <v/>
      </c>
      <c r="G79" s="15" t="n"/>
      <c r="H79" s="16" t="inlineStr">
        <is>
          <t>Vezi pe site</t>
        </is>
      </c>
      <c r="I79" s="16" t="inlineStr">
        <is>
          <t>Deschide oferta</t>
        </is>
      </c>
    </row>
    <row r="80" ht="46" customHeight="1">
      <c r="A80" s="10" t="n">
        <v>68</v>
      </c>
      <c r="B80" s="11" t="n"/>
      <c r="C80" s="12" t="inlineStr">
        <is>
          <t>Mixer pentru furaje Shaktiman SCMF 50</t>
        </is>
      </c>
      <c r="D80" s="13" t="n">
        <v>12500</v>
      </c>
      <c r="E80" s="11" t="n"/>
      <c r="F80" s="14">
        <f>IF(ISNUMBER(E80),ROUND(E80*Curs,0),IF(ISNUMBER(D80),ROUND(D80*Curs,0),"La cerere"))</f>
        <v/>
      </c>
      <c r="G80" s="15" t="n"/>
      <c r="H80" s="16" t="inlineStr">
        <is>
          <t>Vezi pe site</t>
        </is>
      </c>
      <c r="I80" s="16" t="inlineStr">
        <is>
          <t>Deschide oferta</t>
        </is>
      </c>
    </row>
    <row r="81" ht="46" customHeight="1">
      <c r="A81" s="10" t="n">
        <v>69</v>
      </c>
      <c r="B81" s="11" t="n"/>
      <c r="C81" s="12" t="inlineStr">
        <is>
          <t>Împrăștietor de compost Shaktiman SHCS 1.5M</t>
        </is>
      </c>
      <c r="D81" s="13" t="n">
        <v>3900</v>
      </c>
      <c r="E81" s="11" t="n"/>
      <c r="F81" s="14">
        <f>IF(ISNUMBER(E81),ROUND(E81*Curs,0),IF(ISNUMBER(D81),ROUND(D81*Curs,0),"La cerere"))</f>
        <v/>
      </c>
      <c r="G81" s="15" t="n"/>
      <c r="H81" s="16" t="inlineStr">
        <is>
          <t>Vezi pe site</t>
        </is>
      </c>
      <c r="I81" s="16" t="inlineStr">
        <is>
          <t>Deschide oferta</t>
        </is>
      </c>
    </row>
    <row r="83">
      <c r="C83" s="20" t="inlineStr">
        <is>
          <t>* Preț MDL = prețul final (promo, dacă există) × cursul EUR/MDL din celula F3. Este orientativ.</t>
        </is>
      </c>
    </row>
    <row r="84">
      <c r="C84" s="20" t="inlineStr">
        <is>
          <t>Cursul se poate schimba direct în F3. În Google Sheets se poate lega automat: =GOOGLEFINANCE("CURRENCY:EURMDL")</t>
        </is>
      </c>
    </row>
    <row r="85">
      <c r="C85" s="20" t="inlineStr">
        <is>
          <t>Pentru o ofertă cu unul sau mai multe produse folosiți foaia „Ofertă comercială”.</t>
        </is>
      </c>
    </row>
    <row r="86">
      <c r="C86" s="20" t="inlineStr">
        <is>
          <t>„Ozonteh Impex” SRL · MD-3701, mun. Strășeni, șos. Chișinău 69, Republica Moldova · office@ozonteh.md · ozonteh.net</t>
        </is>
      </c>
    </row>
  </sheetData>
  <mergeCells count="8">
    <mergeCell ref="A59:I59"/>
    <mergeCell ref="A65:I65"/>
    <mergeCell ref="A33:I33"/>
    <mergeCell ref="A63:I63"/>
    <mergeCell ref="A71:I71"/>
    <mergeCell ref="A5:I5"/>
    <mergeCell ref="A56:I56"/>
    <mergeCell ref="A77:I77"/>
  </mergeCells>
  <hyperlinks>
    <hyperlink xmlns:r="http://schemas.openxmlformats.org/officeDocument/2006/relationships" ref="H6" r:id="rId1"/>
    <hyperlink xmlns:r="http://schemas.openxmlformats.org/officeDocument/2006/relationships" ref="I6" r:id="rId2"/>
    <hyperlink xmlns:r="http://schemas.openxmlformats.org/officeDocument/2006/relationships" ref="H7" r:id="rId3"/>
    <hyperlink xmlns:r="http://schemas.openxmlformats.org/officeDocument/2006/relationships" ref="I7" r:id="rId4"/>
    <hyperlink xmlns:r="http://schemas.openxmlformats.org/officeDocument/2006/relationships" ref="H8" r:id="rId5"/>
    <hyperlink xmlns:r="http://schemas.openxmlformats.org/officeDocument/2006/relationships" ref="I8" r:id="rId6"/>
    <hyperlink xmlns:r="http://schemas.openxmlformats.org/officeDocument/2006/relationships" ref="H9" r:id="rId7"/>
    <hyperlink xmlns:r="http://schemas.openxmlformats.org/officeDocument/2006/relationships" ref="I9" r:id="rId8"/>
    <hyperlink xmlns:r="http://schemas.openxmlformats.org/officeDocument/2006/relationships" ref="H10" r:id="rId9"/>
    <hyperlink xmlns:r="http://schemas.openxmlformats.org/officeDocument/2006/relationships" ref="I10" r:id="rId10"/>
    <hyperlink xmlns:r="http://schemas.openxmlformats.org/officeDocument/2006/relationships" ref="H11" r:id="rId11"/>
    <hyperlink xmlns:r="http://schemas.openxmlformats.org/officeDocument/2006/relationships" ref="I11" r:id="rId12"/>
    <hyperlink xmlns:r="http://schemas.openxmlformats.org/officeDocument/2006/relationships" ref="H12" r:id="rId13"/>
    <hyperlink xmlns:r="http://schemas.openxmlformats.org/officeDocument/2006/relationships" ref="I12" r:id="rId14"/>
    <hyperlink xmlns:r="http://schemas.openxmlformats.org/officeDocument/2006/relationships" ref="H13" r:id="rId15"/>
    <hyperlink xmlns:r="http://schemas.openxmlformats.org/officeDocument/2006/relationships" ref="I13" r:id="rId16"/>
    <hyperlink xmlns:r="http://schemas.openxmlformats.org/officeDocument/2006/relationships" ref="H14" r:id="rId17"/>
    <hyperlink xmlns:r="http://schemas.openxmlformats.org/officeDocument/2006/relationships" ref="I14" r:id="rId18"/>
    <hyperlink xmlns:r="http://schemas.openxmlformats.org/officeDocument/2006/relationships" ref="H15" r:id="rId19"/>
    <hyperlink xmlns:r="http://schemas.openxmlformats.org/officeDocument/2006/relationships" ref="I15" r:id="rId20"/>
    <hyperlink xmlns:r="http://schemas.openxmlformats.org/officeDocument/2006/relationships" ref="H16" r:id="rId21"/>
    <hyperlink xmlns:r="http://schemas.openxmlformats.org/officeDocument/2006/relationships" ref="H17" r:id="rId22"/>
    <hyperlink xmlns:r="http://schemas.openxmlformats.org/officeDocument/2006/relationships" ref="I17" r:id="rId23"/>
    <hyperlink xmlns:r="http://schemas.openxmlformats.org/officeDocument/2006/relationships" ref="H18" r:id="rId24"/>
    <hyperlink xmlns:r="http://schemas.openxmlformats.org/officeDocument/2006/relationships" ref="I18" r:id="rId25"/>
    <hyperlink xmlns:r="http://schemas.openxmlformats.org/officeDocument/2006/relationships" ref="H19" r:id="rId26"/>
    <hyperlink xmlns:r="http://schemas.openxmlformats.org/officeDocument/2006/relationships" ref="I19" r:id="rId27"/>
    <hyperlink xmlns:r="http://schemas.openxmlformats.org/officeDocument/2006/relationships" ref="H20" r:id="rId28"/>
    <hyperlink xmlns:r="http://schemas.openxmlformats.org/officeDocument/2006/relationships" ref="I20" r:id="rId29"/>
    <hyperlink xmlns:r="http://schemas.openxmlformats.org/officeDocument/2006/relationships" ref="H21" r:id="rId30"/>
    <hyperlink xmlns:r="http://schemas.openxmlformats.org/officeDocument/2006/relationships" ref="I21" r:id="rId31"/>
    <hyperlink xmlns:r="http://schemas.openxmlformats.org/officeDocument/2006/relationships" ref="H22" r:id="rId32"/>
    <hyperlink xmlns:r="http://schemas.openxmlformats.org/officeDocument/2006/relationships" ref="H23" r:id="rId33"/>
    <hyperlink xmlns:r="http://schemas.openxmlformats.org/officeDocument/2006/relationships" ref="H24" r:id="rId34"/>
    <hyperlink xmlns:r="http://schemas.openxmlformats.org/officeDocument/2006/relationships" ref="I24" r:id="rId35"/>
    <hyperlink xmlns:r="http://schemas.openxmlformats.org/officeDocument/2006/relationships" ref="H25" r:id="rId36"/>
    <hyperlink xmlns:r="http://schemas.openxmlformats.org/officeDocument/2006/relationships" ref="I25" r:id="rId37"/>
    <hyperlink xmlns:r="http://schemas.openxmlformats.org/officeDocument/2006/relationships" ref="H26" r:id="rId38"/>
    <hyperlink xmlns:r="http://schemas.openxmlformats.org/officeDocument/2006/relationships" ref="I26" r:id="rId39"/>
    <hyperlink xmlns:r="http://schemas.openxmlformats.org/officeDocument/2006/relationships" ref="H27" r:id="rId40"/>
    <hyperlink xmlns:r="http://schemas.openxmlformats.org/officeDocument/2006/relationships" ref="I27" r:id="rId41"/>
    <hyperlink xmlns:r="http://schemas.openxmlformats.org/officeDocument/2006/relationships" ref="H28" r:id="rId42"/>
    <hyperlink xmlns:r="http://schemas.openxmlformats.org/officeDocument/2006/relationships" ref="I28" r:id="rId43"/>
    <hyperlink xmlns:r="http://schemas.openxmlformats.org/officeDocument/2006/relationships" ref="H29" r:id="rId44"/>
    <hyperlink xmlns:r="http://schemas.openxmlformats.org/officeDocument/2006/relationships" ref="I29" r:id="rId45"/>
    <hyperlink xmlns:r="http://schemas.openxmlformats.org/officeDocument/2006/relationships" ref="H30" r:id="rId46"/>
    <hyperlink xmlns:r="http://schemas.openxmlformats.org/officeDocument/2006/relationships" ref="I30" r:id="rId47"/>
    <hyperlink xmlns:r="http://schemas.openxmlformats.org/officeDocument/2006/relationships" ref="H31" r:id="rId48"/>
    <hyperlink xmlns:r="http://schemas.openxmlformats.org/officeDocument/2006/relationships" ref="I31" r:id="rId49"/>
    <hyperlink xmlns:r="http://schemas.openxmlformats.org/officeDocument/2006/relationships" ref="H32" r:id="rId50"/>
    <hyperlink xmlns:r="http://schemas.openxmlformats.org/officeDocument/2006/relationships" ref="I32" r:id="rId51"/>
    <hyperlink xmlns:r="http://schemas.openxmlformats.org/officeDocument/2006/relationships" ref="H34" r:id="rId52"/>
    <hyperlink xmlns:r="http://schemas.openxmlformats.org/officeDocument/2006/relationships" ref="I34" r:id="rId53"/>
    <hyperlink xmlns:r="http://schemas.openxmlformats.org/officeDocument/2006/relationships" ref="H35" r:id="rId54"/>
    <hyperlink xmlns:r="http://schemas.openxmlformats.org/officeDocument/2006/relationships" ref="I35" r:id="rId55"/>
    <hyperlink xmlns:r="http://schemas.openxmlformats.org/officeDocument/2006/relationships" ref="H36" r:id="rId56"/>
    <hyperlink xmlns:r="http://schemas.openxmlformats.org/officeDocument/2006/relationships" ref="I36" r:id="rId57"/>
    <hyperlink xmlns:r="http://schemas.openxmlformats.org/officeDocument/2006/relationships" ref="H37" r:id="rId58"/>
    <hyperlink xmlns:r="http://schemas.openxmlformats.org/officeDocument/2006/relationships" ref="I37" r:id="rId59"/>
    <hyperlink xmlns:r="http://schemas.openxmlformats.org/officeDocument/2006/relationships" ref="H38" r:id="rId60"/>
    <hyperlink xmlns:r="http://schemas.openxmlformats.org/officeDocument/2006/relationships" ref="I38" r:id="rId61"/>
    <hyperlink xmlns:r="http://schemas.openxmlformats.org/officeDocument/2006/relationships" ref="H39" r:id="rId62"/>
    <hyperlink xmlns:r="http://schemas.openxmlformats.org/officeDocument/2006/relationships" ref="I39" r:id="rId63"/>
    <hyperlink xmlns:r="http://schemas.openxmlformats.org/officeDocument/2006/relationships" ref="H40" r:id="rId64"/>
    <hyperlink xmlns:r="http://schemas.openxmlformats.org/officeDocument/2006/relationships" ref="I40" r:id="rId65"/>
    <hyperlink xmlns:r="http://schemas.openxmlformats.org/officeDocument/2006/relationships" ref="H41" r:id="rId66"/>
    <hyperlink xmlns:r="http://schemas.openxmlformats.org/officeDocument/2006/relationships" ref="I41" r:id="rId67"/>
    <hyperlink xmlns:r="http://schemas.openxmlformats.org/officeDocument/2006/relationships" ref="H42" r:id="rId68"/>
    <hyperlink xmlns:r="http://schemas.openxmlformats.org/officeDocument/2006/relationships" ref="I42" r:id="rId69"/>
    <hyperlink xmlns:r="http://schemas.openxmlformats.org/officeDocument/2006/relationships" ref="H43" r:id="rId70"/>
    <hyperlink xmlns:r="http://schemas.openxmlformats.org/officeDocument/2006/relationships" ref="I43" r:id="rId71"/>
    <hyperlink xmlns:r="http://schemas.openxmlformats.org/officeDocument/2006/relationships" ref="H44" r:id="rId72"/>
    <hyperlink xmlns:r="http://schemas.openxmlformats.org/officeDocument/2006/relationships" ref="I44" r:id="rId73"/>
    <hyperlink xmlns:r="http://schemas.openxmlformats.org/officeDocument/2006/relationships" ref="H45" r:id="rId74"/>
    <hyperlink xmlns:r="http://schemas.openxmlformats.org/officeDocument/2006/relationships" ref="I45" r:id="rId75"/>
    <hyperlink xmlns:r="http://schemas.openxmlformats.org/officeDocument/2006/relationships" ref="H46" r:id="rId76"/>
    <hyperlink xmlns:r="http://schemas.openxmlformats.org/officeDocument/2006/relationships" ref="I46" r:id="rId77"/>
    <hyperlink xmlns:r="http://schemas.openxmlformats.org/officeDocument/2006/relationships" ref="H47" r:id="rId78"/>
    <hyperlink xmlns:r="http://schemas.openxmlformats.org/officeDocument/2006/relationships" ref="I47" r:id="rId79"/>
    <hyperlink xmlns:r="http://schemas.openxmlformats.org/officeDocument/2006/relationships" ref="H48" r:id="rId80"/>
    <hyperlink xmlns:r="http://schemas.openxmlformats.org/officeDocument/2006/relationships" ref="I48" r:id="rId81"/>
    <hyperlink xmlns:r="http://schemas.openxmlformats.org/officeDocument/2006/relationships" ref="H49" r:id="rId82"/>
    <hyperlink xmlns:r="http://schemas.openxmlformats.org/officeDocument/2006/relationships" ref="I49" r:id="rId83"/>
    <hyperlink xmlns:r="http://schemas.openxmlformats.org/officeDocument/2006/relationships" ref="H50" r:id="rId84"/>
    <hyperlink xmlns:r="http://schemas.openxmlformats.org/officeDocument/2006/relationships" ref="H51" r:id="rId85"/>
    <hyperlink xmlns:r="http://schemas.openxmlformats.org/officeDocument/2006/relationships" ref="H52" r:id="rId86"/>
    <hyperlink xmlns:r="http://schemas.openxmlformats.org/officeDocument/2006/relationships" ref="H53" r:id="rId87"/>
    <hyperlink xmlns:r="http://schemas.openxmlformats.org/officeDocument/2006/relationships" ref="I53" r:id="rId88"/>
    <hyperlink xmlns:r="http://schemas.openxmlformats.org/officeDocument/2006/relationships" ref="H54" r:id="rId89"/>
    <hyperlink xmlns:r="http://schemas.openxmlformats.org/officeDocument/2006/relationships" ref="I54" r:id="rId90"/>
    <hyperlink xmlns:r="http://schemas.openxmlformats.org/officeDocument/2006/relationships" ref="H55" r:id="rId91"/>
    <hyperlink xmlns:r="http://schemas.openxmlformats.org/officeDocument/2006/relationships" ref="I55" r:id="rId92"/>
    <hyperlink xmlns:r="http://schemas.openxmlformats.org/officeDocument/2006/relationships" ref="H57" r:id="rId93"/>
    <hyperlink xmlns:r="http://schemas.openxmlformats.org/officeDocument/2006/relationships" ref="I57" r:id="rId94"/>
    <hyperlink xmlns:r="http://schemas.openxmlformats.org/officeDocument/2006/relationships" ref="H58" r:id="rId95"/>
    <hyperlink xmlns:r="http://schemas.openxmlformats.org/officeDocument/2006/relationships" ref="I58" r:id="rId96"/>
    <hyperlink xmlns:r="http://schemas.openxmlformats.org/officeDocument/2006/relationships" ref="H60" r:id="rId97"/>
    <hyperlink xmlns:r="http://schemas.openxmlformats.org/officeDocument/2006/relationships" ref="I60" r:id="rId98"/>
    <hyperlink xmlns:r="http://schemas.openxmlformats.org/officeDocument/2006/relationships" ref="H61" r:id="rId99"/>
    <hyperlink xmlns:r="http://schemas.openxmlformats.org/officeDocument/2006/relationships" ref="I61" r:id="rId100"/>
    <hyperlink xmlns:r="http://schemas.openxmlformats.org/officeDocument/2006/relationships" ref="H62" r:id="rId101"/>
    <hyperlink xmlns:r="http://schemas.openxmlformats.org/officeDocument/2006/relationships" ref="I62" r:id="rId102"/>
    <hyperlink xmlns:r="http://schemas.openxmlformats.org/officeDocument/2006/relationships" ref="H64" r:id="rId103"/>
    <hyperlink xmlns:r="http://schemas.openxmlformats.org/officeDocument/2006/relationships" ref="I64" r:id="rId104"/>
    <hyperlink xmlns:r="http://schemas.openxmlformats.org/officeDocument/2006/relationships" ref="H66" r:id="rId105"/>
    <hyperlink xmlns:r="http://schemas.openxmlformats.org/officeDocument/2006/relationships" ref="I66" r:id="rId106"/>
    <hyperlink xmlns:r="http://schemas.openxmlformats.org/officeDocument/2006/relationships" ref="H67" r:id="rId107"/>
    <hyperlink xmlns:r="http://schemas.openxmlformats.org/officeDocument/2006/relationships" ref="I67" r:id="rId108"/>
    <hyperlink xmlns:r="http://schemas.openxmlformats.org/officeDocument/2006/relationships" ref="H68" r:id="rId109"/>
    <hyperlink xmlns:r="http://schemas.openxmlformats.org/officeDocument/2006/relationships" ref="I68" r:id="rId110"/>
    <hyperlink xmlns:r="http://schemas.openxmlformats.org/officeDocument/2006/relationships" ref="H69" r:id="rId111"/>
    <hyperlink xmlns:r="http://schemas.openxmlformats.org/officeDocument/2006/relationships" ref="I69" r:id="rId112"/>
    <hyperlink xmlns:r="http://schemas.openxmlformats.org/officeDocument/2006/relationships" ref="H70" r:id="rId113"/>
    <hyperlink xmlns:r="http://schemas.openxmlformats.org/officeDocument/2006/relationships" ref="I70" r:id="rId114"/>
    <hyperlink xmlns:r="http://schemas.openxmlformats.org/officeDocument/2006/relationships" ref="H72" r:id="rId115"/>
    <hyperlink xmlns:r="http://schemas.openxmlformats.org/officeDocument/2006/relationships" ref="I72" r:id="rId116"/>
    <hyperlink xmlns:r="http://schemas.openxmlformats.org/officeDocument/2006/relationships" ref="H73" r:id="rId117"/>
    <hyperlink xmlns:r="http://schemas.openxmlformats.org/officeDocument/2006/relationships" ref="I73" r:id="rId118"/>
    <hyperlink xmlns:r="http://schemas.openxmlformats.org/officeDocument/2006/relationships" ref="H74" r:id="rId119"/>
    <hyperlink xmlns:r="http://schemas.openxmlformats.org/officeDocument/2006/relationships" ref="I74" r:id="rId120"/>
    <hyperlink xmlns:r="http://schemas.openxmlformats.org/officeDocument/2006/relationships" ref="H75" r:id="rId121"/>
    <hyperlink xmlns:r="http://schemas.openxmlformats.org/officeDocument/2006/relationships" ref="I75" r:id="rId122"/>
    <hyperlink xmlns:r="http://schemas.openxmlformats.org/officeDocument/2006/relationships" ref="H76" r:id="rId123"/>
    <hyperlink xmlns:r="http://schemas.openxmlformats.org/officeDocument/2006/relationships" ref="I76" r:id="rId124"/>
    <hyperlink xmlns:r="http://schemas.openxmlformats.org/officeDocument/2006/relationships" ref="H78" r:id="rId125"/>
    <hyperlink xmlns:r="http://schemas.openxmlformats.org/officeDocument/2006/relationships" ref="I78" r:id="rId126"/>
    <hyperlink xmlns:r="http://schemas.openxmlformats.org/officeDocument/2006/relationships" ref="H79" r:id="rId127"/>
    <hyperlink xmlns:r="http://schemas.openxmlformats.org/officeDocument/2006/relationships" ref="I79" r:id="rId128"/>
    <hyperlink xmlns:r="http://schemas.openxmlformats.org/officeDocument/2006/relationships" ref="H80" r:id="rId129"/>
    <hyperlink xmlns:r="http://schemas.openxmlformats.org/officeDocument/2006/relationships" ref="I80" r:id="rId130"/>
    <hyperlink xmlns:r="http://schemas.openxmlformats.org/officeDocument/2006/relationships" ref="H81" r:id="rId131"/>
    <hyperlink xmlns:r="http://schemas.openxmlformats.org/officeDocument/2006/relationships" ref="I81" r:id="rId132"/>
  </hyperlinks>
  <printOptions horizontalCentered="1"/>
  <pageMargins left="0.4" right="0.4" top="0.5" bottom="0.5" header="0.5" footer="0.5"/>
  <pageSetup orientation="landscape" paperSize="9" fitToHeight="0" fitToWidth="1"/>
  <headerFooter>
    <oddHeader/>
    <oddFooter>&amp;C&amp;8 Pagina &amp;P din &amp;N</oddFooter>
    <evenHeader/>
    <evenFooter/>
    <firstHeader/>
    <firstFooter/>
  </headerFooter>
  <drawing xmlns:r="http://schemas.openxmlformats.org/officeDocument/2006/relationships" r:id="rId13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8" customWidth="1" min="4" max="4"/>
    <col width="14" customWidth="1" min="5" max="5"/>
    <col width="11" customWidth="1" min="6" max="6"/>
    <col width="15" customWidth="1" min="7" max="7"/>
    <col width="16" customWidth="1" min="8" max="8"/>
    <col hidden="1" width="40" customWidth="1" min="9" max="9"/>
  </cols>
  <sheetData>
    <row r="1" ht="22" customHeight="1">
      <c r="D1" s="21" t="inlineStr">
        <is>
          <t>„Ozonteh Impex” SRL</t>
        </is>
      </c>
    </row>
    <row r="2" ht="15" customHeight="1">
      <c r="D2" s="22" t="inlineStr">
        <is>
          <t>MD-3701, mun. Strășeni, șos. Chișinău 69, Republica Moldova</t>
        </is>
      </c>
    </row>
    <row r="3" ht="15" customHeight="1">
      <c r="D3" s="22" t="inlineStr">
        <is>
          <t>C.F. 1013600012644 · Cod TVA 8600854</t>
        </is>
      </c>
    </row>
    <row r="4" ht="15" customHeight="1">
      <c r="D4" s="22" t="inlineStr">
        <is>
          <t>office@ozonteh.md · ozonteh.net</t>
        </is>
      </c>
    </row>
    <row r="5" ht="8" customHeight="1">
      <c r="A5" s="23" t="n"/>
      <c r="B5" s="23" t="n"/>
      <c r="C5" s="23" t="n"/>
      <c r="D5" s="23" t="n"/>
      <c r="E5" s="23" t="n"/>
      <c r="F5" s="23" t="n"/>
      <c r="G5" s="23" t="n"/>
      <c r="H5" s="23" t="n"/>
    </row>
    <row r="7" ht="32" customHeight="1">
      <c r="A7" s="24" t="inlineStr">
        <is>
          <t>OFERTĂ COMERCIALĂ</t>
        </is>
      </c>
    </row>
    <row r="8" ht="20" customHeight="1">
      <c r="B8" s="4" t="inlineStr">
        <is>
          <t>Nr. ofertei:</t>
        </is>
      </c>
      <c r="C8" s="25" t="n"/>
      <c r="D8" s="26" t="n"/>
      <c r="E8" s="4" t="inlineStr">
        <is>
          <t>Data:</t>
        </is>
      </c>
      <c r="F8" s="27" t="n"/>
      <c r="G8" s="4" t="inlineStr">
        <is>
          <t>Valabilă (zile):</t>
        </is>
      </c>
      <c r="H8" s="28" t="n">
        <v>14</v>
      </c>
    </row>
    <row r="9" ht="20" customHeight="1">
      <c r="B9" s="4" t="inlineStr">
        <is>
          <t>Curs EUR/MDL:</t>
        </is>
      </c>
      <c r="C9" s="29">
        <f>Curs</f>
        <v/>
      </c>
      <c r="D9" s="26" t="n"/>
      <c r="E9" s="4" t="inlineStr">
        <is>
          <t>Cota TVA:</t>
        </is>
      </c>
      <c r="F9" s="30" t="n">
        <v>0.2</v>
      </c>
      <c r="G9" s="4" t="inlineStr">
        <is>
          <t>Expiră la:</t>
        </is>
      </c>
      <c r="H9" s="31">
        <f>IF(ISNUMBER(F8),F8+H8,"")</f>
        <v/>
      </c>
    </row>
    <row r="11" ht="22" customHeight="1">
      <c r="A11" s="32" t="inlineStr">
        <is>
          <t xml:space="preserve">  DATE CLIENT</t>
        </is>
      </c>
    </row>
    <row r="12" ht="20" customHeight="1">
      <c r="B12" s="33" t="inlineStr">
        <is>
          <t>Client / companie:</t>
        </is>
      </c>
      <c r="C12" s="34" t="n"/>
      <c r="D12" s="26" t="n"/>
      <c r="E12" s="26" t="n"/>
      <c r="F12" s="26" t="n"/>
      <c r="G12" s="26" t="n"/>
      <c r="H12" s="26" t="n"/>
    </row>
    <row r="13" ht="20" customHeight="1">
      <c r="B13" s="33" t="inlineStr">
        <is>
          <t>Persoană de contact:</t>
        </is>
      </c>
      <c r="C13" s="34" t="n"/>
      <c r="D13" s="26" t="n"/>
      <c r="E13" s="26" t="n"/>
      <c r="F13" s="26" t="n"/>
      <c r="G13" s="26" t="n"/>
      <c r="H13" s="26" t="n"/>
    </row>
    <row r="14" ht="20" customHeight="1">
      <c r="B14" s="33" t="inlineStr">
        <is>
          <t>Telefon:</t>
        </is>
      </c>
      <c r="C14" s="34" t="n"/>
      <c r="D14" s="26" t="n"/>
      <c r="E14" s="4" t="inlineStr">
        <is>
          <t>E-mail:</t>
        </is>
      </c>
      <c r="F14" s="34" t="n"/>
      <c r="G14" s="26" t="n"/>
      <c r="H14" s="26" t="n"/>
    </row>
    <row r="15" ht="20" customHeight="1">
      <c r="B15" s="33" t="inlineStr">
        <is>
          <t>Localitate / adresă:</t>
        </is>
      </c>
      <c r="C15" s="34" t="n"/>
      <c r="D15" s="26" t="n"/>
      <c r="E15" s="26" t="n"/>
      <c r="F15" s="26" t="n"/>
      <c r="G15" s="26" t="n"/>
      <c r="H15" s="26" t="n"/>
    </row>
    <row r="17" ht="22" customHeight="1">
      <c r="A17" s="32" t="inlineStr">
        <is>
          <t xml:space="preserve">  PRODUSE OFERITE</t>
        </is>
      </c>
    </row>
    <row r="18" ht="32" customHeight="1">
      <c r="A18" s="35" t="inlineStr">
        <is>
          <t>Nr.</t>
        </is>
      </c>
      <c r="B18" s="35" t="inlineStr">
        <is>
          <t>Produs (alegeți din listă)</t>
        </is>
      </c>
      <c r="C18" s="35" t="inlineStr">
        <is>
          <t>Pagina
produsului</t>
        </is>
      </c>
      <c r="D18" s="35" t="inlineStr">
        <is>
          <t>Cant.</t>
        </is>
      </c>
      <c r="E18" s="35" t="inlineStr">
        <is>
          <t>Preț unitar
EUR fără TVA</t>
        </is>
      </c>
      <c r="F18" s="35" t="inlineStr">
        <is>
          <t>Reducere
%</t>
        </is>
      </c>
      <c r="G18" s="35" t="inlineStr">
        <is>
          <t>Total EUR
fără TVA</t>
        </is>
      </c>
      <c r="H18" s="35" t="inlineStr">
        <is>
          <t>Total MDL
fără TVA</t>
        </is>
      </c>
      <c r="I18" s="36" t="inlineStr">
        <is>
          <t>Link ofertă produs (pentru meniul Ozonteh)</t>
        </is>
      </c>
    </row>
    <row r="19" ht="30" customHeight="1">
      <c r="A19" s="37">
        <f>IF(B19="","",ROW()-18)</f>
        <v/>
      </c>
      <c r="B19" s="38" t="inlineStr">
        <is>
          <t>Tocător lateral Shaktiman AFM 160</t>
        </is>
      </c>
      <c r="C19" s="39">
        <f>IF(B19="","",IFERROR(HYPERLINK(INDEX(Catalog!$B$2:$B$70,MATCH(B19,Catalog!$A$2:$A$70,0)),"Vezi produs"),""))</f>
        <v/>
      </c>
      <c r="D19" s="25" t="n">
        <v>1</v>
      </c>
      <c r="E19" s="40">
        <f>IF(B19="","",IFERROR(INDEX(Catalog!$C$2:$C$70,MATCH(B19,Catalog!$A$2:$A$70,0)),"nu e în listă"))</f>
        <v/>
      </c>
      <c r="F19" s="30" t="n"/>
      <c r="G19" s="41">
        <f>IF(AND(ISNUMBER(D19),ISNUMBER(E19)),ROUND(D19*E19*(1-N(F19)),2),"")</f>
        <v/>
      </c>
      <c r="H19" s="42">
        <f>IF(ISNUMBER(G19),ROUND(G19*$C$9,0),"")</f>
        <v/>
      </c>
      <c r="I19" s="36">
        <f>IF(B19="","",IFERROR(INDEX(Catalog!$F$2:$F$70,MATCH(B19,Catalog!$A$2:$A$70,0))&amp;"",""))</f>
        <v/>
      </c>
    </row>
    <row r="20" ht="30" customHeight="1">
      <c r="A20" s="37">
        <f>IF(B20="","",ROW()-18)</f>
        <v/>
      </c>
      <c r="B20" s="38" t="n"/>
      <c r="C20" s="39">
        <f>IF(B20="","",IFERROR(HYPERLINK(INDEX(Catalog!$B$2:$B$70,MATCH(B20,Catalog!$A$2:$A$70,0)),"Vezi produs"),""))</f>
        <v/>
      </c>
      <c r="D20" s="25" t="n"/>
      <c r="E20" s="40">
        <f>IF(B20="","",IFERROR(INDEX(Catalog!$C$2:$C$70,MATCH(B20,Catalog!$A$2:$A$70,0)),"nu e în listă"))</f>
        <v/>
      </c>
      <c r="F20" s="30" t="n"/>
      <c r="G20" s="41">
        <f>IF(AND(ISNUMBER(D20),ISNUMBER(E20)),ROUND(D20*E20*(1-N(F20)),2),"")</f>
        <v/>
      </c>
      <c r="H20" s="42">
        <f>IF(ISNUMBER(G20),ROUND(G20*$C$9,0),"")</f>
        <v/>
      </c>
      <c r="I20" s="36">
        <f>IF(B20="","",IFERROR(INDEX(Catalog!$F$2:$F$70,MATCH(B20,Catalog!$A$2:$A$70,0))&amp;"",""))</f>
        <v/>
      </c>
    </row>
    <row r="21" ht="30" customHeight="1">
      <c r="A21" s="37">
        <f>IF(B21="","",ROW()-18)</f>
        <v/>
      </c>
      <c r="B21" s="38" t="n"/>
      <c r="C21" s="39">
        <f>IF(B21="","",IFERROR(HYPERLINK(INDEX(Catalog!$B$2:$B$70,MATCH(B21,Catalog!$A$2:$A$70,0)),"Vezi produs"),""))</f>
        <v/>
      </c>
      <c r="D21" s="25" t="n"/>
      <c r="E21" s="40">
        <f>IF(B21="","",IFERROR(INDEX(Catalog!$C$2:$C$70,MATCH(B21,Catalog!$A$2:$A$70,0)),"nu e în listă"))</f>
        <v/>
      </c>
      <c r="F21" s="30" t="n"/>
      <c r="G21" s="41">
        <f>IF(AND(ISNUMBER(D21),ISNUMBER(E21)),ROUND(D21*E21*(1-N(F21)),2),"")</f>
        <v/>
      </c>
      <c r="H21" s="42">
        <f>IF(ISNUMBER(G21),ROUND(G21*$C$9,0),"")</f>
        <v/>
      </c>
      <c r="I21" s="36">
        <f>IF(B21="","",IFERROR(INDEX(Catalog!$F$2:$F$70,MATCH(B21,Catalog!$A$2:$A$70,0))&amp;"",""))</f>
        <v/>
      </c>
    </row>
    <row r="22" ht="30" customHeight="1">
      <c r="A22" s="37">
        <f>IF(B22="","",ROW()-18)</f>
        <v/>
      </c>
      <c r="B22" s="38" t="n"/>
      <c r="C22" s="39">
        <f>IF(B22="","",IFERROR(HYPERLINK(INDEX(Catalog!$B$2:$B$70,MATCH(B22,Catalog!$A$2:$A$70,0)),"Vezi produs"),""))</f>
        <v/>
      </c>
      <c r="D22" s="25" t="n"/>
      <c r="E22" s="40">
        <f>IF(B22="","",IFERROR(INDEX(Catalog!$C$2:$C$70,MATCH(B22,Catalog!$A$2:$A$70,0)),"nu e în listă"))</f>
        <v/>
      </c>
      <c r="F22" s="30" t="n"/>
      <c r="G22" s="41">
        <f>IF(AND(ISNUMBER(D22),ISNUMBER(E22)),ROUND(D22*E22*(1-N(F22)),2),"")</f>
        <v/>
      </c>
      <c r="H22" s="42">
        <f>IF(ISNUMBER(G22),ROUND(G22*$C$9,0),"")</f>
        <v/>
      </c>
      <c r="I22" s="36">
        <f>IF(B22="","",IFERROR(INDEX(Catalog!$F$2:$F$70,MATCH(B22,Catalog!$A$2:$A$70,0))&amp;"",""))</f>
        <v/>
      </c>
    </row>
    <row r="23" ht="30" customHeight="1">
      <c r="A23" s="37">
        <f>IF(B23="","",ROW()-18)</f>
        <v/>
      </c>
      <c r="B23" s="38" t="n"/>
      <c r="C23" s="39">
        <f>IF(B23="","",IFERROR(HYPERLINK(INDEX(Catalog!$B$2:$B$70,MATCH(B23,Catalog!$A$2:$A$70,0)),"Vezi produs"),""))</f>
        <v/>
      </c>
      <c r="D23" s="25" t="n"/>
      <c r="E23" s="40">
        <f>IF(B23="","",IFERROR(INDEX(Catalog!$C$2:$C$70,MATCH(B23,Catalog!$A$2:$A$70,0)),"nu e în listă"))</f>
        <v/>
      </c>
      <c r="F23" s="30" t="n"/>
      <c r="G23" s="41">
        <f>IF(AND(ISNUMBER(D23),ISNUMBER(E23)),ROUND(D23*E23*(1-N(F23)),2),"")</f>
        <v/>
      </c>
      <c r="H23" s="42">
        <f>IF(ISNUMBER(G23),ROUND(G23*$C$9,0),"")</f>
        <v/>
      </c>
      <c r="I23" s="36">
        <f>IF(B23="","",IFERROR(INDEX(Catalog!$F$2:$F$70,MATCH(B23,Catalog!$A$2:$A$70,0))&amp;"",""))</f>
        <v/>
      </c>
    </row>
    <row r="24" ht="30" customHeight="1">
      <c r="A24" s="37">
        <f>IF(B24="","",ROW()-18)</f>
        <v/>
      </c>
      <c r="B24" s="38" t="n"/>
      <c r="C24" s="39">
        <f>IF(B24="","",IFERROR(HYPERLINK(INDEX(Catalog!$B$2:$B$70,MATCH(B24,Catalog!$A$2:$A$70,0)),"Vezi produs"),""))</f>
        <v/>
      </c>
      <c r="D24" s="25" t="n"/>
      <c r="E24" s="40">
        <f>IF(B24="","",IFERROR(INDEX(Catalog!$C$2:$C$70,MATCH(B24,Catalog!$A$2:$A$70,0)),"nu e în listă"))</f>
        <v/>
      </c>
      <c r="F24" s="30" t="n"/>
      <c r="G24" s="41">
        <f>IF(AND(ISNUMBER(D24),ISNUMBER(E24)),ROUND(D24*E24*(1-N(F24)),2),"")</f>
        <v/>
      </c>
      <c r="H24" s="42">
        <f>IF(ISNUMBER(G24),ROUND(G24*$C$9,0),"")</f>
        <v/>
      </c>
      <c r="I24" s="36">
        <f>IF(B24="","",IFERROR(INDEX(Catalog!$F$2:$F$70,MATCH(B24,Catalog!$A$2:$A$70,0))&amp;"",""))</f>
        <v/>
      </c>
    </row>
    <row r="25" ht="30" customHeight="1">
      <c r="A25" s="37">
        <f>IF(B25="","",ROW()-18)</f>
        <v/>
      </c>
      <c r="B25" s="38" t="n"/>
      <c r="C25" s="39">
        <f>IF(B25="","",IFERROR(HYPERLINK(INDEX(Catalog!$B$2:$B$70,MATCH(B25,Catalog!$A$2:$A$70,0)),"Vezi produs"),""))</f>
        <v/>
      </c>
      <c r="D25" s="25" t="n"/>
      <c r="E25" s="40">
        <f>IF(B25="","",IFERROR(INDEX(Catalog!$C$2:$C$70,MATCH(B25,Catalog!$A$2:$A$70,0)),"nu e în listă"))</f>
        <v/>
      </c>
      <c r="F25" s="30" t="n"/>
      <c r="G25" s="41">
        <f>IF(AND(ISNUMBER(D25),ISNUMBER(E25)),ROUND(D25*E25*(1-N(F25)),2),"")</f>
        <v/>
      </c>
      <c r="H25" s="42">
        <f>IF(ISNUMBER(G25),ROUND(G25*$C$9,0),"")</f>
        <v/>
      </c>
      <c r="I25" s="36">
        <f>IF(B25="","",IFERROR(INDEX(Catalog!$F$2:$F$70,MATCH(B25,Catalog!$A$2:$A$70,0))&amp;"",""))</f>
        <v/>
      </c>
    </row>
    <row r="26" ht="30" customHeight="1">
      <c r="A26" s="37">
        <f>IF(B26="","",ROW()-18)</f>
        <v/>
      </c>
      <c r="B26" s="38" t="n"/>
      <c r="C26" s="39">
        <f>IF(B26="","",IFERROR(HYPERLINK(INDEX(Catalog!$B$2:$B$70,MATCH(B26,Catalog!$A$2:$A$70,0)),"Vezi produs"),""))</f>
        <v/>
      </c>
      <c r="D26" s="25" t="n"/>
      <c r="E26" s="40">
        <f>IF(B26="","",IFERROR(INDEX(Catalog!$C$2:$C$70,MATCH(B26,Catalog!$A$2:$A$70,0)),"nu e în listă"))</f>
        <v/>
      </c>
      <c r="F26" s="30" t="n"/>
      <c r="G26" s="41">
        <f>IF(AND(ISNUMBER(D26),ISNUMBER(E26)),ROUND(D26*E26*(1-N(F26)),2),"")</f>
        <v/>
      </c>
      <c r="H26" s="42">
        <f>IF(ISNUMBER(G26),ROUND(G26*$C$9,0),"")</f>
        <v/>
      </c>
      <c r="I26" s="36">
        <f>IF(B26="","",IFERROR(INDEX(Catalog!$F$2:$F$70,MATCH(B26,Catalog!$A$2:$A$70,0))&amp;"",""))</f>
        <v/>
      </c>
    </row>
    <row r="27" ht="30" customHeight="1">
      <c r="A27" s="37">
        <f>IF(B27="","",ROW()-18)</f>
        <v/>
      </c>
      <c r="B27" s="38" t="n"/>
      <c r="C27" s="39">
        <f>IF(B27="","",IFERROR(HYPERLINK(INDEX(Catalog!$B$2:$B$70,MATCH(B27,Catalog!$A$2:$A$70,0)),"Vezi produs"),""))</f>
        <v/>
      </c>
      <c r="D27" s="25" t="n"/>
      <c r="E27" s="40">
        <f>IF(B27="","",IFERROR(INDEX(Catalog!$C$2:$C$70,MATCH(B27,Catalog!$A$2:$A$70,0)),"nu e în listă"))</f>
        <v/>
      </c>
      <c r="F27" s="30" t="n"/>
      <c r="G27" s="41">
        <f>IF(AND(ISNUMBER(D27),ISNUMBER(E27)),ROUND(D27*E27*(1-N(F27)),2),"")</f>
        <v/>
      </c>
      <c r="H27" s="42">
        <f>IF(ISNUMBER(G27),ROUND(G27*$C$9,0),"")</f>
        <v/>
      </c>
      <c r="I27" s="36">
        <f>IF(B27="","",IFERROR(INDEX(Catalog!$F$2:$F$70,MATCH(B27,Catalog!$A$2:$A$70,0))&amp;"",""))</f>
        <v/>
      </c>
    </row>
    <row r="28" ht="30" customHeight="1">
      <c r="A28" s="37">
        <f>IF(B28="","",ROW()-18)</f>
        <v/>
      </c>
      <c r="B28" s="38" t="n"/>
      <c r="C28" s="39">
        <f>IF(B28="","",IFERROR(HYPERLINK(INDEX(Catalog!$B$2:$B$70,MATCH(B28,Catalog!$A$2:$A$70,0)),"Vezi produs"),""))</f>
        <v/>
      </c>
      <c r="D28" s="25" t="n"/>
      <c r="E28" s="40">
        <f>IF(B28="","",IFERROR(INDEX(Catalog!$C$2:$C$70,MATCH(B28,Catalog!$A$2:$A$70,0)),"nu e în listă"))</f>
        <v/>
      </c>
      <c r="F28" s="30" t="n"/>
      <c r="G28" s="41">
        <f>IF(AND(ISNUMBER(D28),ISNUMBER(E28)),ROUND(D28*E28*(1-N(F28)),2),"")</f>
        <v/>
      </c>
      <c r="H28" s="42">
        <f>IF(ISNUMBER(G28),ROUND(G28*$C$9,0),"")</f>
        <v/>
      </c>
      <c r="I28" s="36">
        <f>IF(B28="","",IFERROR(INDEX(Catalog!$F$2:$F$70,MATCH(B28,Catalog!$A$2:$A$70,0))&amp;"",""))</f>
        <v/>
      </c>
    </row>
    <row r="30" ht="22" customHeight="1">
      <c r="E30" s="4" t="inlineStr">
        <is>
          <t>Total fără TVA</t>
        </is>
      </c>
      <c r="G30" s="43">
        <f>SUM(G19:G28)</f>
        <v/>
      </c>
      <c r="H30" s="44">
        <f>SUM(H19:H28)</f>
        <v/>
      </c>
    </row>
    <row r="31" ht="22" customHeight="1">
      <c r="E31" s="4">
        <f>"TVA "&amp;TEXT(CotaTVA,"0%")</f>
        <v/>
      </c>
      <c r="G31" s="43">
        <f>ROUND(G30*CotaTVA,2)</f>
        <v/>
      </c>
      <c r="H31" s="44">
        <f>ROUND(H30*CotaTVA,0)</f>
        <v/>
      </c>
    </row>
    <row r="32" ht="22" customHeight="1">
      <c r="E32" s="45" t="inlineStr">
        <is>
          <t>TOTAL cu TVA</t>
        </is>
      </c>
      <c r="G32" s="46">
        <f>G30+G31</f>
        <v/>
      </c>
      <c r="H32" s="47">
        <f>H30+H31</f>
        <v/>
      </c>
    </row>
    <row r="34" ht="22" customHeight="1">
      <c r="A34" s="32" t="inlineStr">
        <is>
          <t xml:space="preserve">  CONDIȚII</t>
        </is>
      </c>
    </row>
    <row r="35" ht="20" customHeight="1">
      <c r="B35" s="33" t="inlineStr">
        <is>
          <t>Garanție:</t>
        </is>
      </c>
      <c r="C35" s="48" t="inlineStr">
        <is>
          <t>12 luni.</t>
        </is>
      </c>
    </row>
    <row r="36" ht="20" customHeight="1">
      <c r="B36" s="33" t="inlineStr">
        <is>
          <t>Livrare:</t>
        </is>
      </c>
      <c r="C36" s="48" t="inlineStr">
        <is>
          <t>Termenul de livrare în funcție de stocul disponibil.</t>
        </is>
      </c>
    </row>
    <row r="37" ht="20" customHeight="1">
      <c r="B37" s="33" t="inlineStr">
        <is>
          <t>Finanțare:</t>
        </is>
      </c>
      <c r="C37" s="48" t="inlineStr">
        <is>
          <t>Asistență și consultanță calificată pentru aplicarea la sisteme de finanțare și subvenționare.</t>
        </is>
      </c>
    </row>
    <row r="38" ht="20" customHeight="1">
      <c r="B38" s="33" t="inlineStr">
        <is>
          <t>Service:</t>
        </is>
      </c>
      <c r="C38" s="48" t="inlineStr">
        <is>
          <t>Asistență tehnică în 48 de ore.</t>
        </is>
      </c>
    </row>
    <row r="39" ht="20" customHeight="1">
      <c r="B39" s="33" t="inlineStr">
        <is>
          <t>Suport post-vânzare:</t>
        </is>
      </c>
      <c r="C39" s="48" t="inlineStr">
        <is>
          <t>Susținem toți clienții printr-o echipă dedicată de piese și accesorii.</t>
        </is>
      </c>
    </row>
    <row r="40" ht="20" customHeight="1">
      <c r="B40" s="33" t="inlineStr">
        <is>
          <t>Prețuri:</t>
        </is>
      </c>
      <c r="C40" s="48" t="inlineStr">
        <is>
          <t>Prețurile sunt în EUR, fără TVA. Suma în MDL este calculată la cursul din C9.</t>
        </is>
      </c>
    </row>
    <row r="41" ht="20" customHeight="1">
      <c r="B41" s="33" t="inlineStr">
        <is>
          <t>Condiții de plată:</t>
        </is>
      </c>
      <c r="C41" s="34" t="n"/>
      <c r="D41" s="26" t="n"/>
      <c r="E41" s="26" t="n"/>
      <c r="F41" s="26" t="n"/>
      <c r="G41" s="26" t="n"/>
      <c r="H41" s="26" t="n"/>
    </row>
    <row r="43" ht="20" customHeight="1">
      <c r="B43" s="33" t="inlineStr">
        <is>
          <t>Întocmit de:</t>
        </is>
      </c>
      <c r="C43" s="34" t="n"/>
      <c r="D43" s="26" t="n"/>
      <c r="E43" s="4" t="inlineStr">
        <is>
          <t>Telefon:</t>
        </is>
      </c>
      <c r="F43" s="34" t="n"/>
      <c r="G43" s="26" t="n"/>
      <c r="H43" s="26" t="n"/>
    </row>
    <row r="45" ht="26" customHeight="1">
      <c r="B45" s="33" t="inlineStr">
        <is>
          <t>Semnătura:</t>
        </is>
      </c>
      <c r="C45" s="49" t="n"/>
      <c r="D45" s="49" t="n"/>
    </row>
    <row r="47">
      <c r="B47" s="50" t="inlineStr">
        <is>
          <t>Apăsați aici sau scanați codul pentru site-ul Ozonteh: ozonteh.net</t>
        </is>
      </c>
    </row>
  </sheetData>
  <mergeCells count="27">
    <mergeCell ref="C41:H41"/>
    <mergeCell ref="C40:H40"/>
    <mergeCell ref="D1:H1"/>
    <mergeCell ref="C14:D14"/>
    <mergeCell ref="A11:H11"/>
    <mergeCell ref="C12:H12"/>
    <mergeCell ref="C36:H36"/>
    <mergeCell ref="A7:H7"/>
    <mergeCell ref="D2:H2"/>
    <mergeCell ref="C39:H39"/>
    <mergeCell ref="F43:H43"/>
    <mergeCell ref="C9:D9"/>
    <mergeCell ref="E31:F31"/>
    <mergeCell ref="C43:D43"/>
    <mergeCell ref="C38:H38"/>
    <mergeCell ref="E30:F30"/>
    <mergeCell ref="F14:H14"/>
    <mergeCell ref="C13:H13"/>
    <mergeCell ref="C37:H37"/>
    <mergeCell ref="D4:H4"/>
    <mergeCell ref="C8:D8"/>
    <mergeCell ref="D3:H3"/>
    <mergeCell ref="A17:H17"/>
    <mergeCell ref="C15:H15"/>
    <mergeCell ref="E32:F32"/>
    <mergeCell ref="C35:H35"/>
    <mergeCell ref="A34:H34"/>
  </mergeCells>
  <conditionalFormatting sqref="C8:D8">
    <cfRule type="expression" priority="1" dxfId="0" stopIfTrue="0">
      <formula>$C$8=""</formula>
    </cfRule>
  </conditionalFormatting>
  <conditionalFormatting sqref="F8">
    <cfRule type="expression" priority="2" dxfId="0" stopIfTrue="0">
      <formula>$F$8=""</formula>
    </cfRule>
  </conditionalFormatting>
  <conditionalFormatting sqref="H8">
    <cfRule type="expression" priority="3" dxfId="0" stopIfTrue="0">
      <formula>$H$8=""</formula>
    </cfRule>
  </conditionalFormatting>
  <conditionalFormatting sqref="C9:D9">
    <cfRule type="expression" priority="4" dxfId="0" stopIfTrue="0">
      <formula>$C$9=""</formula>
    </cfRule>
  </conditionalFormatting>
  <conditionalFormatting sqref="F9">
    <cfRule type="expression" priority="5" dxfId="0" stopIfTrue="0">
      <formula>$F$9=""</formula>
    </cfRule>
  </conditionalFormatting>
  <conditionalFormatting sqref="C12:H12">
    <cfRule type="expression" priority="6" dxfId="0" stopIfTrue="0">
      <formula>$C$12=""</formula>
    </cfRule>
  </conditionalFormatting>
  <conditionalFormatting sqref="C13:H13">
    <cfRule type="expression" priority="7" dxfId="0" stopIfTrue="0">
      <formula>$C$13=""</formula>
    </cfRule>
  </conditionalFormatting>
  <conditionalFormatting sqref="C14:D14">
    <cfRule type="expression" priority="8" dxfId="0" stopIfTrue="0">
      <formula>$C$14=""</formula>
    </cfRule>
  </conditionalFormatting>
  <conditionalFormatting sqref="F14:H14">
    <cfRule type="expression" priority="9" dxfId="0" stopIfTrue="0">
      <formula>$F$14=""</formula>
    </cfRule>
  </conditionalFormatting>
  <conditionalFormatting sqref="C15:H15">
    <cfRule type="expression" priority="10" dxfId="0" stopIfTrue="0">
      <formula>$C$15=""</formula>
    </cfRule>
  </conditionalFormatting>
  <conditionalFormatting sqref="B19">
    <cfRule type="expression" priority="11" dxfId="0" stopIfTrue="0">
      <formula>$B19=""</formula>
    </cfRule>
  </conditionalFormatting>
  <conditionalFormatting sqref="D19">
    <cfRule type="expression" priority="12" dxfId="0" stopIfTrue="0">
      <formula>AND($B19&lt;&gt;"",$D19="")</formula>
    </cfRule>
  </conditionalFormatting>
  <conditionalFormatting sqref="B20">
    <cfRule type="expression" priority="13" dxfId="0" stopIfTrue="0">
      <formula>AND($B20="",$B19&lt;&gt;"")</formula>
    </cfRule>
  </conditionalFormatting>
  <conditionalFormatting sqref="D20">
    <cfRule type="expression" priority="14" dxfId="0" stopIfTrue="0">
      <formula>AND($B20&lt;&gt;"",$D20="")</formula>
    </cfRule>
  </conditionalFormatting>
  <conditionalFormatting sqref="B21">
    <cfRule type="expression" priority="15" dxfId="0" stopIfTrue="0">
      <formula>AND($B21="",$B20&lt;&gt;"")</formula>
    </cfRule>
  </conditionalFormatting>
  <conditionalFormatting sqref="D21">
    <cfRule type="expression" priority="16" dxfId="0" stopIfTrue="0">
      <formula>AND($B21&lt;&gt;"",$D21="")</formula>
    </cfRule>
  </conditionalFormatting>
  <conditionalFormatting sqref="B22">
    <cfRule type="expression" priority="17" dxfId="0" stopIfTrue="0">
      <formula>AND($B22="",$B21&lt;&gt;"")</formula>
    </cfRule>
  </conditionalFormatting>
  <conditionalFormatting sqref="D22">
    <cfRule type="expression" priority="18" dxfId="0" stopIfTrue="0">
      <formula>AND($B22&lt;&gt;"",$D22="")</formula>
    </cfRule>
  </conditionalFormatting>
  <conditionalFormatting sqref="B23">
    <cfRule type="expression" priority="19" dxfId="0" stopIfTrue="0">
      <formula>AND($B23="",$B22&lt;&gt;"")</formula>
    </cfRule>
  </conditionalFormatting>
  <conditionalFormatting sqref="D23">
    <cfRule type="expression" priority="20" dxfId="0" stopIfTrue="0">
      <formula>AND($B23&lt;&gt;"",$D23="")</formula>
    </cfRule>
  </conditionalFormatting>
  <conditionalFormatting sqref="B24">
    <cfRule type="expression" priority="21" dxfId="0" stopIfTrue="0">
      <formula>AND($B24="",$B23&lt;&gt;"")</formula>
    </cfRule>
  </conditionalFormatting>
  <conditionalFormatting sqref="D24">
    <cfRule type="expression" priority="22" dxfId="0" stopIfTrue="0">
      <formula>AND($B24&lt;&gt;"",$D24="")</formula>
    </cfRule>
  </conditionalFormatting>
  <conditionalFormatting sqref="B25">
    <cfRule type="expression" priority="23" dxfId="0" stopIfTrue="0">
      <formula>AND($B25="",$B24&lt;&gt;"")</formula>
    </cfRule>
  </conditionalFormatting>
  <conditionalFormatting sqref="D25">
    <cfRule type="expression" priority="24" dxfId="0" stopIfTrue="0">
      <formula>AND($B25&lt;&gt;"",$D25="")</formula>
    </cfRule>
  </conditionalFormatting>
  <conditionalFormatting sqref="B26">
    <cfRule type="expression" priority="25" dxfId="0" stopIfTrue="0">
      <formula>AND($B26="",$B25&lt;&gt;"")</formula>
    </cfRule>
  </conditionalFormatting>
  <conditionalFormatting sqref="D26">
    <cfRule type="expression" priority="26" dxfId="0" stopIfTrue="0">
      <formula>AND($B26&lt;&gt;"",$D26="")</formula>
    </cfRule>
  </conditionalFormatting>
  <conditionalFormatting sqref="B27">
    <cfRule type="expression" priority="27" dxfId="0" stopIfTrue="0">
      <formula>AND($B27="",$B26&lt;&gt;"")</formula>
    </cfRule>
  </conditionalFormatting>
  <conditionalFormatting sqref="D27">
    <cfRule type="expression" priority="28" dxfId="0" stopIfTrue="0">
      <formula>AND($B27&lt;&gt;"",$D27="")</formula>
    </cfRule>
  </conditionalFormatting>
  <conditionalFormatting sqref="B28">
    <cfRule type="expression" priority="29" dxfId="0" stopIfTrue="0">
      <formula>AND($B28="",$B27&lt;&gt;"")</formula>
    </cfRule>
  </conditionalFormatting>
  <conditionalFormatting sqref="D28">
    <cfRule type="expression" priority="30" dxfId="0" stopIfTrue="0">
      <formula>AND($B28&lt;&gt;"",$D28="")</formula>
    </cfRule>
  </conditionalFormatting>
  <conditionalFormatting sqref="C41:H41">
    <cfRule type="expression" priority="31" dxfId="0" stopIfTrue="0">
      <formula>$C$41=""</formula>
    </cfRule>
  </conditionalFormatting>
  <conditionalFormatting sqref="C43:D43">
    <cfRule type="expression" priority="32" dxfId="0" stopIfTrue="0">
      <formula>$C$43=""</formula>
    </cfRule>
  </conditionalFormatting>
  <conditionalFormatting sqref="F43:H43">
    <cfRule type="expression" priority="33" dxfId="0" stopIfTrue="0">
      <formula>$F$43=""</formula>
    </cfRule>
  </conditionalFormatting>
  <dataValidations count="1">
    <dataValidation sqref="B19 B20 B21 B22 B23 B24 B25 B26 B27 B28" showDropDown="0" showInputMessage="0" showErrorMessage="1" allowBlank="1" errorTitle="Produs necunoscut" error="Alegeți produsul din listă (săgeata din dreapta celulei)." type="list">
      <formula1>Catalog!$A$2:$A$70</formula1>
    </dataValidation>
  </dataValidations>
  <hyperlinks>
    <hyperlink xmlns:r="http://schemas.openxmlformats.org/officeDocument/2006/relationships" ref="D4" r:id="rId1"/>
    <hyperlink xmlns:r="http://schemas.openxmlformats.org/officeDocument/2006/relationships" ref="B47" r:id="rId2"/>
  </hyperlinks>
  <printOptions horizontalCentered="1"/>
  <pageMargins left="0.4" right="0.4" top="0.4" bottom="0.4" header="0.5" footer="0.5"/>
  <pageSetup orientation="portrait" paperSize="9" fitToHeight="1" fitToWidth="1"/>
  <drawing xmlns:r="http://schemas.openxmlformats.org/officeDocument/2006/relationships" r:id="rId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51" t="inlineStr">
        <is>
          <t>CUM SE FOLOSEȘTE</t>
        </is>
      </c>
    </row>
    <row r="4">
      <c r="B4" s="52" t="inlineStr">
        <is>
          <t>OFERTA COMERCIALĂ</t>
        </is>
      </c>
    </row>
    <row r="5">
      <c r="B5" s="53" t="inlineStr">
        <is>
          <t>1. Completați câmpurile galbene; după completare devin albe, ca PDF-ul să iasă curat.</t>
        </is>
      </c>
    </row>
    <row r="6">
      <c r="B6" s="53" t="inlineStr">
        <is>
          <t>2. În coloana „Produs” apăsați săgeata și alegeți produsul. Prețul (promo, dacă există) și linkul se completează singure din „Lista de prețuri”.</t>
        </is>
      </c>
    </row>
    <row r="7">
      <c r="B7" s="53" t="inlineStr">
        <is>
          <t>3. Scrieți cantitatea și, dacă e cazul, reducerea (ex. 5%).</t>
        </is>
      </c>
    </row>
    <row r="8">
      <c r="B8" s="53" t="inlineStr">
        <is>
          <t>4. Cursul vine din „Lista de prețuri” (F3); în ofertă îl puteți schimba doar pentru oferta aceasta.</t>
        </is>
      </c>
    </row>
    <row r="9">
      <c r="B9" s="53" t="inlineStr">
        <is>
          <t>5. Primul rând e un exemplu: înlocuiți-l sau ștergeți-l.</t>
        </is>
      </c>
    </row>
    <row r="11">
      <c r="B11" s="52" t="inlineStr">
        <is>
          <t>PDF: DOAR OFERTA</t>
        </is>
      </c>
    </row>
    <row r="12">
      <c r="B12" s="53" t="inlineStr">
        <is>
          <t>Pe foaia „Ofertă comercială”: Fișier → Descărcare → PDF → Foaia curentă, A4, portret, „Potrivire la lățime”.</t>
        </is>
      </c>
    </row>
    <row r="14">
      <c r="B14" s="52" t="inlineStr">
        <is>
          <t>PDF: OFERTA + FIȘELE PRODUSELOR ALESE (meniul Ozonteh, doar în Google Sheets)</t>
        </is>
      </c>
    </row>
    <row r="15">
      <c r="B15" s="53" t="inlineStr">
        <is>
          <t>Meniul „Ozonteh → Descarcă oferta completă (PDF)” face un singur PDF: oferta comercială, apoi oferta (fișa tehnică) fiecărui produs ales, în ordinea din tabel.</t>
        </is>
      </c>
    </row>
    <row r="16">
      <c r="B16" s="53" t="inlineStr">
        <is>
          <t>PDF-ul se salvează și în Google Drive, în dosarul „Oferte Ozonteh (PDF)”.</t>
        </is>
      </c>
    </row>
    <row r="17">
      <c r="B17" s="53" t="n"/>
    </row>
    <row r="18">
      <c r="B18" s="53" t="inlineStr">
        <is>
          <t>Instalare, o singură dată pentru fiecare fișier:</t>
        </is>
      </c>
    </row>
    <row r="19">
      <c r="B19" s="53" t="inlineStr">
        <is>
          <t xml:space="preserve">  a. Fișier → Salvează ca Foi de calcul Google (dacă în titlu apare .XLSX).</t>
        </is>
      </c>
    </row>
    <row r="20">
      <c r="B20" s="53" t="inlineStr">
        <is>
          <t xml:space="preserve">  b. Extensii → Apps Script. Ștergeți tot ce e acolo și lipiți codul din fișierul oferta_completa.gs. Salvați (Ctrl+S).</t>
        </is>
      </c>
    </row>
    <row r="21">
      <c r="B21" s="53" t="inlineStr">
        <is>
          <t xml:space="preserve">  c. Reîncărcați foaia de calcul. Apare meniul „Ozonteh”. La prima folosire Google cere permisiunea: Continuați → contul Ozonteh → Permiteți.</t>
        </is>
      </c>
    </row>
    <row r="22">
      <c r="B22" s="53" t="n"/>
    </row>
    <row r="23">
      <c r="B23" s="53" t="inlineStr">
        <is>
          <t>Când se schimbă prețurile: Fișier → Import → Încărcare → fișierul .xlsx nou → „Înlocuiți foaia de calcul”. Meniul rămâne.</t>
        </is>
      </c>
    </row>
    <row r="25">
      <c r="B25" s="52" t="inlineStr">
        <is>
          <t>LISTA DE PREȚURI</t>
        </is>
      </c>
    </row>
    <row r="26">
      <c r="B26" s="53" t="inlineStr">
        <is>
          <t>Prețurile sunt în EUR, fără TVA. Prețul în lei = prețul final × cursul din F3.</t>
        </is>
      </c>
    </row>
    <row r="27">
      <c r="B27" s="53" t="inlineStr">
        <is>
          <t>În Google Sheets cursul se poate lega automat: în F3 scrieți =GOOGLEFINANCE("CURRENCY:EURMDL").</t>
        </is>
      </c>
    </row>
  </sheetData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55" customWidth="1" min="1" max="1"/>
    <col width="60" customWidth="1" min="2" max="2"/>
    <col width="14" customWidth="1" min="3" max="3"/>
    <col width="14" customWidth="1" min="4" max="4"/>
    <col width="14" customWidth="1" min="5" max="5"/>
    <col width="60" customWidth="1" min="6" max="6"/>
    <col width="30" customWidth="1" min="7" max="7"/>
  </cols>
  <sheetData>
    <row r="1">
      <c r="A1" s="54" t="inlineStr">
        <is>
          <t>Denumire</t>
        </is>
      </c>
      <c r="B1" s="54" t="inlineStr">
        <is>
          <t>Link produs</t>
        </is>
      </c>
      <c r="C1" s="54" t="inlineStr">
        <is>
          <t>Preț final EUR</t>
        </is>
      </c>
      <c r="D1" s="54" t="inlineStr">
        <is>
          <t>Preț listă EUR</t>
        </is>
      </c>
      <c r="E1" s="54" t="inlineStr">
        <is>
          <t>Preț promo EUR</t>
        </is>
      </c>
      <c r="F1" s="54" t="inlineStr">
        <is>
          <t>Link ofertă</t>
        </is>
      </c>
      <c r="G1" s="54" t="inlineStr">
        <is>
          <t>Categorie</t>
        </is>
      </c>
    </row>
    <row r="2">
      <c r="A2">
        <f>'Lista de prețuri'!C6</f>
        <v/>
      </c>
      <c r="B2" t="inlineStr">
        <is>
          <t>https://ozonteh.net/product/tocator-shaktiman-afm/</t>
        </is>
      </c>
      <c r="C2">
        <f>IF(ISNUMBER('Lista de prețuri'!E6),'Lista de prețuri'!E6,IF(ISNUMBER('Lista de prețuri'!D6),'Lista de prețuri'!D6,"La cerere"))</f>
        <v/>
      </c>
      <c r="D2">
        <f>'Lista de prețuri'!D6</f>
        <v/>
      </c>
      <c r="E2">
        <f>IF(ISNUMBER('Lista de prețuri'!E6),'Lista de prețuri'!E6,"")</f>
        <v/>
      </c>
      <c r="F2" t="inlineStr">
        <is>
          <t>https://docs.google.com/spreadsheets/d/1CXkK0ItyxIAIqxW4vkuozfDCTeFBFK2bOTakDbVFslE/edit?usp=sharing</t>
        </is>
      </c>
      <c r="G2" t="inlineStr">
        <is>
          <t>Tocătoare de resturi vegetale</t>
        </is>
      </c>
    </row>
    <row r="3">
      <c r="A3">
        <f>'Lista de prețuri'!C7</f>
        <v/>
      </c>
      <c r="B3" t="inlineStr">
        <is>
          <t>https://ozonteh.net/product/tocator-shaktiman-afm/</t>
        </is>
      </c>
      <c r="C3">
        <f>IF(ISNUMBER('Lista de prețuri'!E7),'Lista de prețuri'!E7,IF(ISNUMBER('Lista de prețuri'!D7),'Lista de prețuri'!D7,"La cerere"))</f>
        <v/>
      </c>
      <c r="D3">
        <f>'Lista de prețuri'!D7</f>
        <v/>
      </c>
      <c r="E3">
        <f>IF(ISNUMBER('Lista de prețuri'!E7),'Lista de prețuri'!E7,"")</f>
        <v/>
      </c>
      <c r="F3" t="inlineStr">
        <is>
          <t>https://docs.google.com/spreadsheets/d/11Qv4P7lFPcEDoh3VjBqzTBHIHMJPLFnAoZX1w4akAuE/edit?usp=sharing</t>
        </is>
      </c>
      <c r="G3" t="inlineStr">
        <is>
          <t>Tocătoare de resturi vegetale</t>
        </is>
      </c>
    </row>
    <row r="4">
      <c r="A4">
        <f>'Lista de prețuri'!C8</f>
        <v/>
      </c>
      <c r="B4" t="inlineStr">
        <is>
          <t>https://ozonteh.net/product/tocator-shaktiman-bmf/</t>
        </is>
      </c>
      <c r="C4">
        <f>IF(ISNUMBER('Lista de prețuri'!E8),'Lista de prețuri'!E8,IF(ISNUMBER('Lista de prețuri'!D8),'Lista de prețuri'!D8,"La cerere"))</f>
        <v/>
      </c>
      <c r="D4">
        <f>'Lista de prețuri'!D8</f>
        <v/>
      </c>
      <c r="E4">
        <f>IF(ISNUMBER('Lista de prețuri'!E8),'Lista de prețuri'!E8,"")</f>
        <v/>
      </c>
      <c r="F4" t="inlineStr">
        <is>
          <t>https://docs.google.com/spreadsheets/d/17ajncHgjQHD4XVyM3_jr7RA9FlROw4kCJNlOpmbo9d8/edit?usp=sharing</t>
        </is>
      </c>
      <c r="G4" t="inlineStr">
        <is>
          <t>Tocătoare de resturi vegetale</t>
        </is>
      </c>
    </row>
    <row r="5">
      <c r="A5">
        <f>'Lista de prețuri'!C9</f>
        <v/>
      </c>
      <c r="B5" t="inlineStr">
        <is>
          <t>https://ozonteh.net/product/tocator-shaktiman-bmf/</t>
        </is>
      </c>
      <c r="C5">
        <f>IF(ISNUMBER('Lista de prețuri'!E9),'Lista de prețuri'!E9,IF(ISNUMBER('Lista de prețuri'!D9),'Lista de prețuri'!D9,"La cerere"))</f>
        <v/>
      </c>
      <c r="D5">
        <f>'Lista de prețuri'!D9</f>
        <v/>
      </c>
      <c r="E5">
        <f>IF(ISNUMBER('Lista de prețuri'!E9),'Lista de prețuri'!E9,"")</f>
        <v/>
      </c>
      <c r="F5" t="inlineStr">
        <is>
          <t>https://docs.google.com/spreadsheets/d/1r6RMANLjYb7QK4w9wJQRI_A29-G0snlwcwQ25qslw9k/edit?usp=sharing</t>
        </is>
      </c>
      <c r="G5" t="inlineStr">
        <is>
          <t>Tocătoare de resturi vegetale</t>
        </is>
      </c>
    </row>
    <row r="6">
      <c r="A6">
        <f>'Lista de prețuri'!C10</f>
        <v/>
      </c>
      <c r="B6" t="inlineStr">
        <is>
          <t>https://ozonteh.net/product/tocator-shaktiman-bmf/</t>
        </is>
      </c>
      <c r="C6">
        <f>IF(ISNUMBER('Lista de prețuri'!E10),'Lista de prețuri'!E10,IF(ISNUMBER('Lista de prețuri'!D10),'Lista de prețuri'!D10,"La cerere"))</f>
        <v/>
      </c>
      <c r="D6">
        <f>'Lista de prețuri'!D10</f>
        <v/>
      </c>
      <c r="E6">
        <f>IF(ISNUMBER('Lista de prețuri'!E10),'Lista de prețuri'!E10,"")</f>
        <v/>
      </c>
      <c r="F6" t="inlineStr">
        <is>
          <t>https://docs.google.com/spreadsheets/d/1HfLhZKBpEZDAqOhNj77nIUSbBlG5AWRsJnTOdow9N0o/edit?usp=sharing</t>
        </is>
      </c>
      <c r="G6" t="inlineStr">
        <is>
          <t>Tocătoare de resturi vegetale</t>
        </is>
      </c>
    </row>
    <row r="7">
      <c r="A7">
        <f>'Lista de prețuri'!C11</f>
        <v/>
      </c>
      <c r="B7" t="inlineStr">
        <is>
          <t>https://ozonteh.net/product/tocator-shaktiman-bmf/</t>
        </is>
      </c>
      <c r="C7">
        <f>IF(ISNUMBER('Lista de prețuri'!E11),'Lista de prețuri'!E11,IF(ISNUMBER('Lista de prețuri'!D11),'Lista de prețuri'!D11,"La cerere"))</f>
        <v/>
      </c>
      <c r="D7">
        <f>'Lista de prețuri'!D11</f>
        <v/>
      </c>
      <c r="E7">
        <f>IF(ISNUMBER('Lista de prețuri'!E11),'Lista de prețuri'!E11,"")</f>
        <v/>
      </c>
      <c r="F7" t="inlineStr">
        <is>
          <t>https://docs.google.com/spreadsheets/d/1NUuMEYaakNKEAQNzkhGg_hpi15iCu2ucLLI16-K7BE0/edit?usp=sharing</t>
        </is>
      </c>
      <c r="G7" t="inlineStr">
        <is>
          <t>Tocătoare de resturi vegetale</t>
        </is>
      </c>
    </row>
    <row r="8">
      <c r="A8">
        <f>'Lista de prețuri'!C12</f>
        <v/>
      </c>
      <c r="B8" t="inlineStr">
        <is>
          <t>https://ozonteh.net/product/tocator-shaktiman-bmf/</t>
        </is>
      </c>
      <c r="C8">
        <f>IF(ISNUMBER('Lista de prețuri'!E12),'Lista de prețuri'!E12,IF(ISNUMBER('Lista de prețuri'!D12),'Lista de prețuri'!D12,"La cerere"))</f>
        <v/>
      </c>
      <c r="D8">
        <f>'Lista de prețuri'!D12</f>
        <v/>
      </c>
      <c r="E8">
        <f>IF(ISNUMBER('Lista de prețuri'!E12),'Lista de prețuri'!E12,"")</f>
        <v/>
      </c>
      <c r="F8" t="inlineStr">
        <is>
          <t>https://docs.google.com/spreadsheets/d/1lS9OA4xc6Zh0IheX8orc_RNht2rLft-6r5zBzSxUM98/edit?usp=sharing</t>
        </is>
      </c>
      <c r="G8" t="inlineStr">
        <is>
          <t>Tocătoare de resturi vegetale</t>
        </is>
      </c>
    </row>
    <row r="9">
      <c r="A9">
        <f>'Lista de prețuri'!C13</f>
        <v/>
      </c>
      <c r="B9" t="inlineStr">
        <is>
          <t>https://ozonteh.net/product/tocator-shaktiman-bpf/</t>
        </is>
      </c>
      <c r="C9">
        <f>IF(ISNUMBER('Lista de prețuri'!E13),'Lista de prețuri'!E13,IF(ISNUMBER('Lista de prețuri'!D13),'Lista de prețuri'!D13,"La cerere"))</f>
        <v/>
      </c>
      <c r="D9">
        <f>'Lista de prețuri'!D13</f>
        <v/>
      </c>
      <c r="E9">
        <f>IF(ISNUMBER('Lista de prețuri'!E13),'Lista de prețuri'!E13,"")</f>
        <v/>
      </c>
      <c r="F9" t="inlineStr">
        <is>
          <t>https://docs.google.com/spreadsheets/d/1j0T44xCNkUDuWfbBeC_nQOtFtEL88StZkmoF9DRNmHg/edit?usp=sharing</t>
        </is>
      </c>
      <c r="G9" t="inlineStr">
        <is>
          <t>Tocătoare de resturi vegetale</t>
        </is>
      </c>
    </row>
    <row r="10">
      <c r="A10">
        <f>'Lista de prețuri'!C14</f>
        <v/>
      </c>
      <c r="B10" t="inlineStr">
        <is>
          <t>https://ozonteh.net/product/tocator-shaktiman-bpf/</t>
        </is>
      </c>
      <c r="C10">
        <f>IF(ISNUMBER('Lista de prețuri'!E14),'Lista de prețuri'!E14,IF(ISNUMBER('Lista de prețuri'!D14),'Lista de prețuri'!D14,"La cerere"))</f>
        <v/>
      </c>
      <c r="D10">
        <f>'Lista de prețuri'!D14</f>
        <v/>
      </c>
      <c r="E10">
        <f>IF(ISNUMBER('Lista de prețuri'!E14),'Lista de prețuri'!E14,"")</f>
        <v/>
      </c>
      <c r="F10" t="inlineStr">
        <is>
          <t>https://docs.google.com/spreadsheets/d/1OYQ0AbKni0w8bQGkwfN4UJz2siUJgyWzHztgB0f47vc/edit?usp=sharing</t>
        </is>
      </c>
      <c r="G10" t="inlineStr">
        <is>
          <t>Tocătoare de resturi vegetale</t>
        </is>
      </c>
    </row>
    <row r="11">
      <c r="A11">
        <f>'Lista de prețuri'!C15</f>
        <v/>
      </c>
      <c r="B11" t="inlineStr">
        <is>
          <t>https://ozonteh.net/product/tocator-shaktiman-bpf/</t>
        </is>
      </c>
      <c r="C11">
        <f>IF(ISNUMBER('Lista de prețuri'!E15),'Lista de prețuri'!E15,IF(ISNUMBER('Lista de prețuri'!D15),'Lista de prețuri'!D15,"La cerere"))</f>
        <v/>
      </c>
      <c r="D11">
        <f>'Lista de prețuri'!D15</f>
        <v/>
      </c>
      <c r="E11">
        <f>IF(ISNUMBER('Lista de prețuri'!E15),'Lista de prețuri'!E15,"")</f>
        <v/>
      </c>
      <c r="F11" t="inlineStr">
        <is>
          <t>https://docs.google.com/spreadsheets/d/1OEogHx_IYuzv0ewoJ2m2tUd_8ijyM0BZUdkRAfS8MCs/edit?usp=sharing</t>
        </is>
      </c>
      <c r="G11" t="inlineStr">
        <is>
          <t>Tocătoare de resturi vegetale</t>
        </is>
      </c>
    </row>
    <row r="12">
      <c r="A12">
        <f>'Lista de prețuri'!C16</f>
        <v/>
      </c>
      <c r="B12" t="inlineStr">
        <is>
          <t>https://ozonteh.net/product/tocator-shaktiman-bpf/</t>
        </is>
      </c>
      <c r="C12">
        <f>IF(ISNUMBER('Lista de prețuri'!E16),'Lista de prețuri'!E16,IF(ISNUMBER('Lista de prețuri'!D16),'Lista de prețuri'!D16,"La cerere"))</f>
        <v/>
      </c>
      <c r="D12">
        <f>'Lista de prețuri'!D16</f>
        <v/>
      </c>
      <c r="E12">
        <f>IF(ISNUMBER('Lista de prețuri'!E16),'Lista de prețuri'!E16,"")</f>
        <v/>
      </c>
      <c r="G12" t="inlineStr">
        <is>
          <t>Tocătoare de resturi vegetale</t>
        </is>
      </c>
    </row>
    <row r="13">
      <c r="A13">
        <f>'Lista de prețuri'!C17</f>
        <v/>
      </c>
      <c r="B13" t="inlineStr">
        <is>
          <t>https://ozonteh.net/product/tocator-shaktiman-spfm/</t>
        </is>
      </c>
      <c r="C13">
        <f>IF(ISNUMBER('Lista de prețuri'!E17),'Lista de prețuri'!E17,IF(ISNUMBER('Lista de prețuri'!D17),'Lista de prețuri'!D17,"La cerere"))</f>
        <v/>
      </c>
      <c r="D13">
        <f>'Lista de prețuri'!D17</f>
        <v/>
      </c>
      <c r="E13">
        <f>IF(ISNUMBER('Lista de prețuri'!E17),'Lista de prețuri'!E17,"")</f>
        <v/>
      </c>
      <c r="F13" t="inlineStr">
        <is>
          <t>https://docs.google.com/spreadsheets/d/1ObP7sga55mHSHB9fLh3tL4mkVqAn5ZzQimK9ajEQ4cA/edit?gid=1922752811</t>
        </is>
      </c>
      <c r="G13" t="inlineStr">
        <is>
          <t>Tocătoare de resturi vegetale</t>
        </is>
      </c>
    </row>
    <row r="14">
      <c r="A14">
        <f>'Lista de prețuri'!C18</f>
        <v/>
      </c>
      <c r="B14" t="inlineStr">
        <is>
          <t>https://ozonteh.net/product/tocator-shaktiman-spfm/</t>
        </is>
      </c>
      <c r="C14">
        <f>IF(ISNUMBER('Lista de prețuri'!E18),'Lista de prețuri'!E18,IF(ISNUMBER('Lista de prețuri'!D18),'Lista de prețuri'!D18,"La cerere"))</f>
        <v/>
      </c>
      <c r="D14">
        <f>'Lista de prețuri'!D18</f>
        <v/>
      </c>
      <c r="E14">
        <f>IF(ISNUMBER('Lista de prețuri'!E18),'Lista de prețuri'!E18,"")</f>
        <v/>
      </c>
      <c r="F14" t="inlineStr">
        <is>
          <t>https://docs.google.com/spreadsheets/d/1lXIXyzeUyNviWraEwntyAZNCKRxVi95QuLhXBtzfCr4/edit?usp=sharing</t>
        </is>
      </c>
      <c r="G14" t="inlineStr">
        <is>
          <t>Tocătoare de resturi vegetale</t>
        </is>
      </c>
    </row>
    <row r="15">
      <c r="A15">
        <f>'Lista de prețuri'!C19</f>
        <v/>
      </c>
      <c r="B15" t="inlineStr">
        <is>
          <t>https://ozonteh.net/product/tocator-cu-descarcare-laterala-shaktiman-sdfm/</t>
        </is>
      </c>
      <c r="C15">
        <f>IF(ISNUMBER('Lista de prețuri'!E19),'Lista de prețuri'!E19,IF(ISNUMBER('Lista de prețuri'!D19),'Lista de prețuri'!D19,"La cerere"))</f>
        <v/>
      </c>
      <c r="D15">
        <f>'Lista de prețuri'!D19</f>
        <v/>
      </c>
      <c r="E15">
        <f>IF(ISNUMBER('Lista de prețuri'!E19),'Lista de prețuri'!E19,"")</f>
        <v/>
      </c>
      <c r="F15" t="inlineStr">
        <is>
          <t>https://docs.google.com/spreadsheets/d/1MJYYY_GfTiUlLcixDgdnHL3Kem1oUypUUFxH2AmwfyY/edit?usp=sharing</t>
        </is>
      </c>
      <c r="G15" t="inlineStr">
        <is>
          <t>Tocătoare de resturi vegetale</t>
        </is>
      </c>
    </row>
    <row r="16">
      <c r="A16">
        <f>'Lista de prețuri'!C20</f>
        <v/>
      </c>
      <c r="B16" t="inlineStr">
        <is>
          <t>https://ozonteh.net/product/tocator-shaktiman-bma/</t>
        </is>
      </c>
      <c r="C16">
        <f>IF(ISNUMBER('Lista de prețuri'!E20),'Lista de prețuri'!E20,IF(ISNUMBER('Lista de prețuri'!D20),'Lista de prețuri'!D20,"La cerere"))</f>
        <v/>
      </c>
      <c r="D16">
        <f>'Lista de prețuri'!D20</f>
        <v/>
      </c>
      <c r="E16">
        <f>IF(ISNUMBER('Lista de prețuri'!E20),'Lista de prețuri'!E20,"")</f>
        <v/>
      </c>
      <c r="F16" t="inlineStr">
        <is>
          <t>https://docs.google.com/spreadsheets/d/1kC780ekUbYbcJmTq2gp4C_CP_pVxqaB8OUzN2SwPUoU/edit?usp=sharing</t>
        </is>
      </c>
      <c r="G16" t="inlineStr">
        <is>
          <t>Tocătoare de resturi vegetale</t>
        </is>
      </c>
    </row>
    <row r="17">
      <c r="A17">
        <f>'Lista de prețuri'!C21</f>
        <v/>
      </c>
      <c r="B17" t="inlineStr">
        <is>
          <t>https://ozonteh.net/product/tocator-shaktiman-bma/</t>
        </is>
      </c>
      <c r="C17">
        <f>IF(ISNUMBER('Lista de prețuri'!E21),'Lista de prețuri'!E21,IF(ISNUMBER('Lista de prețuri'!D21),'Lista de prețuri'!D21,"La cerere"))</f>
        <v/>
      </c>
      <c r="D17">
        <f>'Lista de prețuri'!D21</f>
        <v/>
      </c>
      <c r="E17">
        <f>IF(ISNUMBER('Lista de prețuri'!E21),'Lista de prețuri'!E21,"")</f>
        <v/>
      </c>
      <c r="F17" t="inlineStr">
        <is>
          <t>https://docs.google.com/spreadsheets/d/1dMtlN5kWLg93ZsZjtzVdV-tvZrZcjJQeYgD4ei0Rhmw/edit?usp=sharing</t>
        </is>
      </c>
      <c r="G17" t="inlineStr">
        <is>
          <t>Tocătoare de resturi vegetale</t>
        </is>
      </c>
    </row>
    <row r="18">
      <c r="A18">
        <f>'Lista de prețuri'!C22</f>
        <v/>
      </c>
      <c r="B18" t="inlineStr">
        <is>
          <t>https://ozonteh.net/product/tocator-shaktiman-sfm-ul/</t>
        </is>
      </c>
      <c r="C18">
        <f>IF(ISNUMBER('Lista de prețuri'!E22),'Lista de prețuri'!E22,IF(ISNUMBER('Lista de prețuri'!D22),'Lista de prețuri'!D22,"La cerere"))</f>
        <v/>
      </c>
      <c r="D18">
        <f>'Lista de prețuri'!D22</f>
        <v/>
      </c>
      <c r="E18">
        <f>IF(ISNUMBER('Lista de prețuri'!E22),'Lista de prețuri'!E22,"")</f>
        <v/>
      </c>
      <c r="G18" t="inlineStr">
        <is>
          <t>Tocătoare de resturi vegetale</t>
        </is>
      </c>
    </row>
    <row r="19">
      <c r="A19">
        <f>'Lista de prețuri'!C23</f>
        <v/>
      </c>
      <c r="B19" t="inlineStr">
        <is>
          <t>https://ozonteh.net/product/tocator-shaktiman-sfm-ul/</t>
        </is>
      </c>
      <c r="C19">
        <f>IF(ISNUMBER('Lista de prețuri'!E23),'Lista de prețuri'!E23,IF(ISNUMBER('Lista de prețuri'!D23),'Lista de prețuri'!D23,"La cerere"))</f>
        <v/>
      </c>
      <c r="D19">
        <f>'Lista de prețuri'!D23</f>
        <v/>
      </c>
      <c r="E19">
        <f>IF(ISNUMBER('Lista de prețuri'!E23),'Lista de prețuri'!E23,"")</f>
        <v/>
      </c>
      <c r="G19" t="inlineStr">
        <is>
          <t>Tocătoare de resturi vegetale</t>
        </is>
      </c>
    </row>
    <row r="20">
      <c r="A20">
        <f>'Lista de prețuri'!C24</f>
        <v/>
      </c>
      <c r="B20" t="inlineStr">
        <is>
          <t>https://ozonteh.net/product/tocator-shaktiman-sfm-ul/</t>
        </is>
      </c>
      <c r="C20">
        <f>IF(ISNUMBER('Lista de prețuri'!E24),'Lista de prețuri'!E24,IF(ISNUMBER('Lista de prețuri'!D24),'Lista de prețuri'!D24,"La cerere"))</f>
        <v/>
      </c>
      <c r="D20">
        <f>'Lista de prețuri'!D24</f>
        <v/>
      </c>
      <c r="E20">
        <f>IF(ISNUMBER('Lista de prețuri'!E24),'Lista de prețuri'!E24,"")</f>
        <v/>
      </c>
      <c r="F20" t="inlineStr">
        <is>
          <t>https://docs.google.com/spreadsheets/d/1Cl2P7BxvJAuJIAgocJ4ZIBDSu4r6fjLIOsV__4VSKcM/edit?usp=sharing</t>
        </is>
      </c>
      <c r="G20" t="inlineStr">
        <is>
          <t>Tocătoare de resturi vegetale</t>
        </is>
      </c>
    </row>
    <row r="21">
      <c r="A21">
        <f>'Lista de prețuri'!C25</f>
        <v/>
      </c>
      <c r="B21" t="inlineStr">
        <is>
          <t>https://ozonteh.net/product/tocator-shaktiman-sfm-ul/</t>
        </is>
      </c>
      <c r="C21">
        <f>IF(ISNUMBER('Lista de prețuri'!E25),'Lista de prețuri'!E25,IF(ISNUMBER('Lista de prețuri'!D25),'Lista de prețuri'!D25,"La cerere"))</f>
        <v/>
      </c>
      <c r="D21">
        <f>'Lista de prețuri'!D25</f>
        <v/>
      </c>
      <c r="E21">
        <f>IF(ISNUMBER('Lista de prețuri'!E25),'Lista de prețuri'!E25,"")</f>
        <v/>
      </c>
      <c r="F21" t="inlineStr">
        <is>
          <t>https://docs.google.com/spreadsheets/d/1zc4yF3Yp9qvsrRD4W3fWbGVEvaZ1P1mECVGdAmwRwnw/edit?usp=sharing</t>
        </is>
      </c>
      <c r="G21" t="inlineStr">
        <is>
          <t>Tocătoare de resturi vegetale</t>
        </is>
      </c>
    </row>
    <row r="22">
      <c r="A22">
        <f>'Lista de prețuri'!C26</f>
        <v/>
      </c>
      <c r="B22" t="inlineStr">
        <is>
          <t>https://ozonteh.net/product/tocator-shaktiman-sfm-ul/</t>
        </is>
      </c>
      <c r="C22">
        <f>IF(ISNUMBER('Lista de prețuri'!E26),'Lista de prețuri'!E26,IF(ISNUMBER('Lista de prețuri'!D26),'Lista de prețuri'!D26,"La cerere"))</f>
        <v/>
      </c>
      <c r="D22">
        <f>'Lista de prețuri'!D26</f>
        <v/>
      </c>
      <c r="E22">
        <f>IF(ISNUMBER('Lista de prețuri'!E26),'Lista de prețuri'!E26,"")</f>
        <v/>
      </c>
      <c r="F22" t="inlineStr">
        <is>
          <t>https://docs.google.com/spreadsheets/d/1C4Xx9-j4LOekK_ZmX9MjKMHOT6M_8jyRrEiRTGO2Ea4/edit?usp=sharing</t>
        </is>
      </c>
      <c r="G22" t="inlineStr">
        <is>
          <t>Tocătoare de resturi vegetale</t>
        </is>
      </c>
    </row>
    <row r="23">
      <c r="A23">
        <f>'Lista de prețuri'!C27</f>
        <v/>
      </c>
      <c r="B23" t="inlineStr">
        <is>
          <t>https://ozonteh.net/product/tocator-shaktiman-sfm/</t>
        </is>
      </c>
      <c r="C23">
        <f>IF(ISNUMBER('Lista de prețuri'!E27),'Lista de prețuri'!E27,IF(ISNUMBER('Lista de prețuri'!D27),'Lista de prețuri'!D27,"La cerere"))</f>
        <v/>
      </c>
      <c r="D23">
        <f>'Lista de prețuri'!D27</f>
        <v/>
      </c>
      <c r="E23">
        <f>IF(ISNUMBER('Lista de prețuri'!E27),'Lista de prețuri'!E27,"")</f>
        <v/>
      </c>
      <c r="F23" t="inlineStr">
        <is>
          <t>https://docs.google.com/spreadsheets/d/1tgDcbe7uHwcGY1fryPt9MJ_2f4x9-UGZAzq8Yr_KKZY/edit?usp=sharing</t>
        </is>
      </c>
      <c r="G23" t="inlineStr">
        <is>
          <t>Tocătoare de resturi vegetale</t>
        </is>
      </c>
    </row>
    <row r="24">
      <c r="A24">
        <f>'Lista de prețuri'!C28</f>
        <v/>
      </c>
      <c r="B24" t="inlineStr">
        <is>
          <t>https://ozonteh.net/product/tocator-shaktiman-sfm/</t>
        </is>
      </c>
      <c r="C24">
        <f>IF(ISNUMBER('Lista de prețuri'!E28),'Lista de prețuri'!E28,IF(ISNUMBER('Lista de prețuri'!D28),'Lista de prețuri'!D28,"La cerere"))</f>
        <v/>
      </c>
      <c r="D24">
        <f>'Lista de prețuri'!D28</f>
        <v/>
      </c>
      <c r="E24">
        <f>IF(ISNUMBER('Lista de prețuri'!E28),'Lista de prețuri'!E28,"")</f>
        <v/>
      </c>
      <c r="F24" t="inlineStr">
        <is>
          <t>https://docs.google.com/spreadsheets/d/1FZIBfqwUpDxsbK551gVAVhTkrScbhK5tHD_i9XaSTig/edit?usp=sharing</t>
        </is>
      </c>
      <c r="G24" t="inlineStr">
        <is>
          <t>Tocătoare de resturi vegetale</t>
        </is>
      </c>
    </row>
    <row r="25">
      <c r="A25">
        <f>'Lista de prețuri'!C29</f>
        <v/>
      </c>
      <c r="B25" t="inlineStr">
        <is>
          <t>https://ozonteh.net/product/tocator-shaktiman-sfm/</t>
        </is>
      </c>
      <c r="C25">
        <f>IF(ISNUMBER('Lista de prețuri'!E29),'Lista de prețuri'!E29,IF(ISNUMBER('Lista de prețuri'!D29),'Lista de prețuri'!D29,"La cerere"))</f>
        <v/>
      </c>
      <c r="D25">
        <f>'Lista de prețuri'!D29</f>
        <v/>
      </c>
      <c r="E25">
        <f>IF(ISNUMBER('Lista de prețuri'!E29),'Lista de prețuri'!E29,"")</f>
        <v/>
      </c>
      <c r="F25" t="inlineStr">
        <is>
          <t>https://docs.google.com/spreadsheets/d/1zCNDDCzqneudjD48TX0PPZW1SunMh8NEn68UViIdBco/edit?usp=sharing</t>
        </is>
      </c>
      <c r="G25" t="inlineStr">
        <is>
          <t>Tocătoare de resturi vegetale</t>
        </is>
      </c>
    </row>
    <row r="26">
      <c r="A26">
        <f>'Lista de prețuri'!C30</f>
        <v/>
      </c>
      <c r="B26" t="inlineStr">
        <is>
          <t>https://ozonteh.net/product/tocator-shaktiman-sfm/</t>
        </is>
      </c>
      <c r="C26">
        <f>IF(ISNUMBER('Lista de prețuri'!E30),'Lista de prețuri'!E30,IF(ISNUMBER('Lista de prețuri'!D30),'Lista de prețuri'!D30,"La cerere"))</f>
        <v/>
      </c>
      <c r="D26">
        <f>'Lista de prețuri'!D30</f>
        <v/>
      </c>
      <c r="E26">
        <f>IF(ISNUMBER('Lista de prețuri'!E30),'Lista de prețuri'!E30,"")</f>
        <v/>
      </c>
      <c r="F26" t="inlineStr">
        <is>
          <t>https://docs.google.com/spreadsheets/d/1wGRmMnrxPvmyiQDXqQxFLwqyUj206spYFEkuedS58dA/edit?usp=sharing</t>
        </is>
      </c>
      <c r="G26" t="inlineStr">
        <is>
          <t>Tocătoare de resturi vegetale</t>
        </is>
      </c>
    </row>
    <row r="27">
      <c r="A27">
        <f>'Lista de prețuri'!C31</f>
        <v/>
      </c>
      <c r="B27" t="inlineStr">
        <is>
          <t>https://ozonteh.net/product/tocator-shaktiman-sfm/</t>
        </is>
      </c>
      <c r="C27">
        <f>IF(ISNUMBER('Lista de prețuri'!E31),'Lista de prețuri'!E31,IF(ISNUMBER('Lista de prețuri'!D31),'Lista de prețuri'!D31,"La cerere"))</f>
        <v/>
      </c>
      <c r="D27">
        <f>'Lista de prețuri'!D31</f>
        <v/>
      </c>
      <c r="E27">
        <f>IF(ISNUMBER('Lista de prețuri'!E31),'Lista de prețuri'!E31,"")</f>
        <v/>
      </c>
      <c r="F27" t="inlineStr">
        <is>
          <t>https://docs.google.com/spreadsheets/d/1_sOXq3HsNLLJhHysigo3Titq-BB4RG8oSlcXT9D7DOE/edit?usp=sharing</t>
        </is>
      </c>
      <c r="G27" t="inlineStr">
        <is>
          <t>Tocătoare de resturi vegetale</t>
        </is>
      </c>
    </row>
    <row r="28">
      <c r="A28">
        <f>'Lista de prețuri'!C32</f>
        <v/>
      </c>
      <c r="B28" t="inlineStr">
        <is>
          <t>https://ozonteh.net/product/tocator-de-resturi-vegetale-si-a-furajelor-verzi-shaktiman-12-sm/</t>
        </is>
      </c>
      <c r="C28">
        <f>IF(ISNUMBER('Lista de prețuri'!E32),'Lista de prețuri'!E32,IF(ISNUMBER('Lista de prețuri'!D32),'Lista de prețuri'!D32,"La cerere"))</f>
        <v/>
      </c>
      <c r="D28">
        <f>'Lista de prețuri'!D32</f>
        <v/>
      </c>
      <c r="E28">
        <f>IF(ISNUMBER('Lista de prețuri'!E32),'Lista de prețuri'!E32,"")</f>
        <v/>
      </c>
      <c r="F28" t="inlineStr">
        <is>
          <t>https://docs.google.com/spreadsheets/d/1JrzI31fr-fR8gKLQwP_eZ2x0aJBSjj1xRAuHiscilg4/edit?usp=sharing</t>
        </is>
      </c>
      <c r="G28" t="inlineStr">
        <is>
          <t>Tocătoare de resturi vegetale</t>
        </is>
      </c>
    </row>
    <row r="29">
      <c r="A29">
        <f>'Lista de prețuri'!C34</f>
        <v/>
      </c>
      <c r="B29" t="inlineStr">
        <is>
          <t>https://ozonteh.net/product/freza-de-sol-shaktiman-mini-plus/</t>
        </is>
      </c>
      <c r="C29">
        <f>IF(ISNUMBER('Lista de prețuri'!E34),'Lista de prețuri'!E34,IF(ISNUMBER('Lista de prețuri'!D34),'Lista de prețuri'!D34,"La cerere"))</f>
        <v/>
      </c>
      <c r="D29">
        <f>'Lista de prețuri'!D34</f>
        <v/>
      </c>
      <c r="E29">
        <f>IF(ISNUMBER('Lista de prețuri'!E34),'Lista de prețuri'!E34,"")</f>
        <v/>
      </c>
      <c r="F29" t="inlineStr">
        <is>
          <t>https://docs.google.com/spreadsheets/d/18p2w-aADJq2_HKxNxfKozPM41kH_DVWl2VzP7BXl8fo/edit?usp=sharing</t>
        </is>
      </c>
      <c r="G29" t="inlineStr">
        <is>
          <t>Freze de sol</t>
        </is>
      </c>
    </row>
    <row r="30">
      <c r="A30">
        <f>'Lista de prețuri'!C35</f>
        <v/>
      </c>
      <c r="B30" t="inlineStr">
        <is>
          <t>https://ozonteh.net/product/freza-de-sol-shaktiman-mini-plus/</t>
        </is>
      </c>
      <c r="C30">
        <f>IF(ISNUMBER('Lista de prețuri'!E35),'Lista de prețuri'!E35,IF(ISNUMBER('Lista de prețuri'!D35),'Lista de prețuri'!D35,"La cerere"))</f>
        <v/>
      </c>
      <c r="D30">
        <f>'Lista de prețuri'!D35</f>
        <v/>
      </c>
      <c r="E30">
        <f>IF(ISNUMBER('Lista de prețuri'!E35),'Lista de prețuri'!E35,"")</f>
        <v/>
      </c>
      <c r="F30" t="inlineStr">
        <is>
          <t>https://docs.google.com/spreadsheets/d/1PsbxoeDJj-eMJH8RJBum3G7Z-HgeI5aH1xcGPAQIQko/edit?usp=sharing</t>
        </is>
      </c>
      <c r="G30" t="inlineStr">
        <is>
          <t>Freze de sol</t>
        </is>
      </c>
    </row>
    <row r="31">
      <c r="A31">
        <f>'Lista de prețuri'!C36</f>
        <v/>
      </c>
      <c r="B31" t="inlineStr">
        <is>
          <t>https://ozonteh.net/product/freza-de-sol-shaktiman-ul/</t>
        </is>
      </c>
      <c r="C31">
        <f>IF(ISNUMBER('Lista de prețuri'!E36),'Lista de prețuri'!E36,IF(ISNUMBER('Lista de prețuri'!D36),'Lista de prețuri'!D36,"La cerere"))</f>
        <v/>
      </c>
      <c r="D31">
        <f>'Lista de prețuri'!D36</f>
        <v/>
      </c>
      <c r="E31">
        <f>IF(ISNUMBER('Lista de prețuri'!E36),'Lista de prețuri'!E36,"")</f>
        <v/>
      </c>
      <c r="F31" t="inlineStr">
        <is>
          <t>https://docs.google.com/spreadsheets/d/1MvHq7JQ3vsiJxzhCJiN4R_bX1grcgnJZKBVNbewO1VU/edit?usp=sharing</t>
        </is>
      </c>
      <c r="G31" t="inlineStr">
        <is>
          <t>Freze de sol</t>
        </is>
      </c>
    </row>
    <row r="32">
      <c r="A32">
        <f>'Lista de prețuri'!C37</f>
        <v/>
      </c>
      <c r="B32" t="inlineStr">
        <is>
          <t>https://ozonteh.net/product/freza-de-sol-shaktiman-ul/</t>
        </is>
      </c>
      <c r="C32">
        <f>IF(ISNUMBER('Lista de prețuri'!E37),'Lista de prețuri'!E37,IF(ISNUMBER('Lista de prețuri'!D37),'Lista de prețuri'!D37,"La cerere"))</f>
        <v/>
      </c>
      <c r="D32">
        <f>'Lista de prețuri'!D37</f>
        <v/>
      </c>
      <c r="E32">
        <f>IF(ISNUMBER('Lista de prețuri'!E37),'Lista de prețuri'!E37,"")</f>
        <v/>
      </c>
      <c r="F32" t="inlineStr">
        <is>
          <t>https://docs.google.com/spreadsheets/d/1fcmIXEdl9ZcgQKKcxEf33TauSZ430dyd8UYnOJ9FCeo/edit?usp=sharing</t>
        </is>
      </c>
      <c r="G32" t="inlineStr">
        <is>
          <t>Freze de sol</t>
        </is>
      </c>
    </row>
    <row r="33">
      <c r="A33">
        <f>'Lista de prețuri'!C38</f>
        <v/>
      </c>
      <c r="B33" t="inlineStr">
        <is>
          <t>https://ozonteh.net/product/freza-de-sol-shaktiman-um/</t>
        </is>
      </c>
      <c r="C33">
        <f>IF(ISNUMBER('Lista de prețuri'!E38),'Lista de prețuri'!E38,IF(ISNUMBER('Lista de prețuri'!D38),'Lista de prețuri'!D38,"La cerere"))</f>
        <v/>
      </c>
      <c r="D33">
        <f>'Lista de prețuri'!D38</f>
        <v/>
      </c>
      <c r="E33">
        <f>IF(ISNUMBER('Lista de prețuri'!E38),'Lista de prețuri'!E38,"")</f>
        <v/>
      </c>
      <c r="F33" t="inlineStr">
        <is>
          <t>https://docs.google.com/spreadsheets/d/1LkGFEfUtpzKxAJKVfjyS6iGAX2QkopArDLkQfuNV4qg/edit?usp=sharing</t>
        </is>
      </c>
      <c r="G33" t="inlineStr">
        <is>
          <t>Freze de sol</t>
        </is>
      </c>
    </row>
    <row r="34">
      <c r="A34">
        <f>'Lista de prețuri'!C39</f>
        <v/>
      </c>
      <c r="B34" t="inlineStr">
        <is>
          <t>https://ozonteh.net/product/freza-de-sol-shaktiman-um/</t>
        </is>
      </c>
      <c r="C34">
        <f>IF(ISNUMBER('Lista de prețuri'!E39),'Lista de prețuri'!E39,IF(ISNUMBER('Lista de prețuri'!D39),'Lista de prețuri'!D39,"La cerere"))</f>
        <v/>
      </c>
      <c r="D34">
        <f>'Lista de prețuri'!D39</f>
        <v/>
      </c>
      <c r="E34">
        <f>IF(ISNUMBER('Lista de prețuri'!E39),'Lista de prețuri'!E39,"")</f>
        <v/>
      </c>
      <c r="F34" t="inlineStr">
        <is>
          <t>https://docs.google.com/spreadsheets/d/1QCnK48znWFg3TtdqYZwCjLDmmYpf3lSM1PKyduq2tGE/edit?usp=sharing</t>
        </is>
      </c>
      <c r="G34" t="inlineStr">
        <is>
          <t>Freze de sol</t>
        </is>
      </c>
    </row>
    <row r="35">
      <c r="A35">
        <f>'Lista de prețuri'!C40</f>
        <v/>
      </c>
      <c r="B35" t="inlineStr">
        <is>
          <t>https://ozonteh.net/product/freza-de-sol-shaktiman-um/</t>
        </is>
      </c>
      <c r="C35">
        <f>IF(ISNUMBER('Lista de prețuri'!E40),'Lista de prețuri'!E40,IF(ISNUMBER('Lista de prețuri'!D40),'Lista de prețuri'!D40,"La cerere"))</f>
        <v/>
      </c>
      <c r="D35">
        <f>'Lista de prețuri'!D40</f>
        <v/>
      </c>
      <c r="E35">
        <f>IF(ISNUMBER('Lista de prețuri'!E40),'Lista de prețuri'!E40,"")</f>
        <v/>
      </c>
      <c r="F35" t="inlineStr">
        <is>
          <t>https://docs.google.com/spreadsheets/d/1l3CDErMmCUHYQVfYKsbEK8ua-k4TB3UwETx4wgZPudA/edit?usp=sharing</t>
        </is>
      </c>
      <c r="G35" t="inlineStr">
        <is>
          <t>Freze de sol</t>
        </is>
      </c>
    </row>
    <row r="36">
      <c r="A36">
        <f>'Lista de prețuri'!C41</f>
        <v/>
      </c>
      <c r="B36" t="inlineStr">
        <is>
          <t>https://ozonteh.net/product/freza-de-sol-shaktiman-um/</t>
        </is>
      </c>
      <c r="C36">
        <f>IF(ISNUMBER('Lista de prețuri'!E41),'Lista de prețuri'!E41,IF(ISNUMBER('Lista de prețuri'!D41),'Lista de prețuri'!D41,"La cerere"))</f>
        <v/>
      </c>
      <c r="D36">
        <f>'Lista de prețuri'!D41</f>
        <v/>
      </c>
      <c r="E36">
        <f>IF(ISNUMBER('Lista de prețuri'!E41),'Lista de prețuri'!E41,"")</f>
        <v/>
      </c>
      <c r="F36" t="inlineStr">
        <is>
          <t>https://docs.google.com/spreadsheets/d/1zfFvezNR7CRaf-Hd57HIvGIZP91Tbpurhf-wDThvaUA/edit?usp=sharing</t>
        </is>
      </c>
      <c r="G36" t="inlineStr">
        <is>
          <t>Freze de sol</t>
        </is>
      </c>
    </row>
    <row r="37">
      <c r="A37">
        <f>'Lista de prețuri'!C42</f>
        <v/>
      </c>
      <c r="B37" t="inlineStr">
        <is>
          <t>https://ozonteh.net/product/freza-de-sol-shaktiman-semi-champion/</t>
        </is>
      </c>
      <c r="C37">
        <f>IF(ISNUMBER('Lista de prețuri'!E42),'Lista de prețuri'!E42,IF(ISNUMBER('Lista de prețuri'!D42),'Lista de prețuri'!D42,"La cerere"))</f>
        <v/>
      </c>
      <c r="D37">
        <f>'Lista de prețuri'!D42</f>
        <v/>
      </c>
      <c r="E37">
        <f>IF(ISNUMBER('Lista de prețuri'!E42),'Lista de prețuri'!E42,"")</f>
        <v/>
      </c>
      <c r="F37" t="inlineStr">
        <is>
          <t>https://docs.google.com/spreadsheets/d/1Is8Cy2WwcVNY4QULJzPAnwysklFUSGRTPshoisdIsA0/edit?usp=sharing</t>
        </is>
      </c>
      <c r="G37" t="inlineStr">
        <is>
          <t>Freze de sol</t>
        </is>
      </c>
    </row>
    <row r="38">
      <c r="A38">
        <f>'Lista de prețuri'!C43</f>
        <v/>
      </c>
      <c r="B38" t="inlineStr">
        <is>
          <t>https://ozonteh.net/product/freza-de-sol-shaktiman-semi-champion/</t>
        </is>
      </c>
      <c r="C38">
        <f>IF(ISNUMBER('Lista de prețuri'!E43),'Lista de prețuri'!E43,IF(ISNUMBER('Lista de prețuri'!D43),'Lista de prețuri'!D43,"La cerere"))</f>
        <v/>
      </c>
      <c r="D38">
        <f>'Lista de prețuri'!D43</f>
        <v/>
      </c>
      <c r="E38">
        <f>IF(ISNUMBER('Lista de prețuri'!E43),'Lista de prețuri'!E43,"")</f>
        <v/>
      </c>
      <c r="F38" t="inlineStr">
        <is>
          <t>https://docs.google.com/spreadsheets/d/1TceIzq9myJogWO--x-IfN2BDHilX-ju6_nbN57ifby4/edit?usp=sharing</t>
        </is>
      </c>
      <c r="G38" t="inlineStr">
        <is>
          <t>Freze de sol</t>
        </is>
      </c>
    </row>
    <row r="39">
      <c r="A39">
        <f>'Lista de prețuri'!C44</f>
        <v/>
      </c>
      <c r="B39" t="inlineStr">
        <is>
          <t>https://ozonteh.net/product/freza-de-sol-shaktiman-semi-champion/</t>
        </is>
      </c>
      <c r="C39">
        <f>IF(ISNUMBER('Lista de prețuri'!E44),'Lista de prețuri'!E44,IF(ISNUMBER('Lista de prețuri'!D44),'Lista de prețuri'!D44,"La cerere"))</f>
        <v/>
      </c>
      <c r="D39">
        <f>'Lista de prețuri'!D44</f>
        <v/>
      </c>
      <c r="E39">
        <f>IF(ISNUMBER('Lista de prețuri'!E44),'Lista de prețuri'!E44,"")</f>
        <v/>
      </c>
      <c r="F39" t="inlineStr">
        <is>
          <t>https://docs.google.com/spreadsheets/d/15URF8uzXPuHHu9B8eAQhT_91JHjp6JlBee2j74HZjtE/edit?usp=sharing</t>
        </is>
      </c>
      <c r="G39" t="inlineStr">
        <is>
          <t>Freze de sol</t>
        </is>
      </c>
    </row>
    <row r="40">
      <c r="A40">
        <f>'Lista de prețuri'!C45</f>
        <v/>
      </c>
      <c r="B40" t="inlineStr">
        <is>
          <t>https://ozonteh.net/product/freza-de-sol-shaktiman-semi-champion/</t>
        </is>
      </c>
      <c r="C40">
        <f>IF(ISNUMBER('Lista de prețuri'!E45),'Lista de prețuri'!E45,IF(ISNUMBER('Lista de prețuri'!D45),'Lista de prețuri'!D45,"La cerere"))</f>
        <v/>
      </c>
      <c r="D40">
        <f>'Lista de prețuri'!D45</f>
        <v/>
      </c>
      <c r="E40">
        <f>IF(ISNUMBER('Lista de prețuri'!E45),'Lista de prețuri'!E45,"")</f>
        <v/>
      </c>
      <c r="F40" t="inlineStr">
        <is>
          <t>https://docs.google.com/spreadsheets/d/1QdQU8IxLFMGVqUIob0GmMy0ey9I3f-5T52tHV6kEJyQ/edit?usp=sharing</t>
        </is>
      </c>
      <c r="G40" t="inlineStr">
        <is>
          <t>Freze de sol</t>
        </is>
      </c>
    </row>
    <row r="41">
      <c r="A41">
        <f>'Lista de prețuri'!C46</f>
        <v/>
      </c>
      <c r="B41" t="inlineStr">
        <is>
          <t>https://ozonteh.net/product/freza-de-sol-shaktiman-champion/</t>
        </is>
      </c>
      <c r="C41">
        <f>IF(ISNUMBER('Lista de prețuri'!E46),'Lista de prețuri'!E46,IF(ISNUMBER('Lista de prețuri'!D46),'Lista de prețuri'!D46,"La cerere"))</f>
        <v/>
      </c>
      <c r="D41">
        <f>'Lista de prețuri'!D46</f>
        <v/>
      </c>
      <c r="E41">
        <f>IF(ISNUMBER('Lista de prețuri'!E46),'Lista de prețuri'!E46,"")</f>
        <v/>
      </c>
      <c r="F41" t="inlineStr">
        <is>
          <t>https://docs.google.com/spreadsheets/d/1quKsnJfPhmwDOZTbbehsdfI2mFHZdo01BwQhqu7LMoU/edit?usp=sharing</t>
        </is>
      </c>
      <c r="G41" t="inlineStr">
        <is>
          <t>Freze de sol</t>
        </is>
      </c>
    </row>
    <row r="42">
      <c r="A42">
        <f>'Lista de prețuri'!C47</f>
        <v/>
      </c>
      <c r="B42" t="inlineStr">
        <is>
          <t>https://ozonteh.net/product/freza-de-sol-shaktiman-champion/</t>
        </is>
      </c>
      <c r="C42">
        <f>IF(ISNUMBER('Lista de prețuri'!E47),'Lista de prețuri'!E47,IF(ISNUMBER('Lista de prețuri'!D47),'Lista de prețuri'!D47,"La cerere"))</f>
        <v/>
      </c>
      <c r="D42">
        <f>'Lista de prețuri'!D47</f>
        <v/>
      </c>
      <c r="E42">
        <f>IF(ISNUMBER('Lista de prețuri'!E47),'Lista de prețuri'!E47,"")</f>
        <v/>
      </c>
      <c r="F42" t="inlineStr">
        <is>
          <t>https://docs.google.com/spreadsheets/d/1__x4i6oRb-VQ44ChEHUwyDc2y9YrK2q6LSzSKsEr4rI/edit?usp=sharing</t>
        </is>
      </c>
      <c r="G42" t="inlineStr">
        <is>
          <t>Freze de sol</t>
        </is>
      </c>
    </row>
    <row r="43">
      <c r="A43">
        <f>'Lista de prețuri'!C48</f>
        <v/>
      </c>
      <c r="B43" t="inlineStr">
        <is>
          <t>https://ozonteh.net/product/freza-rotativa-cu-deplasare-shaktiman-vls/</t>
        </is>
      </c>
      <c r="C43">
        <f>IF(ISNUMBER('Lista de prețuri'!E48),'Lista de prețuri'!E48,IF(ISNUMBER('Lista de prețuri'!D48),'Lista de prețuri'!D48,"La cerere"))</f>
        <v/>
      </c>
      <c r="D43">
        <f>'Lista de prețuri'!D48</f>
        <v/>
      </c>
      <c r="E43">
        <f>IF(ISNUMBER('Lista de prețuri'!E48),'Lista de prețuri'!E48,"")</f>
        <v/>
      </c>
      <c r="F43" t="inlineStr">
        <is>
          <t>https://docs.google.com/spreadsheets/d/1vykY6gvoD2wPJ8guf_iernE-5RbRi1j_5gbZTCQrK2Q/edit?usp=sharing</t>
        </is>
      </c>
      <c r="G43" t="inlineStr">
        <is>
          <t>Freze de sol</t>
        </is>
      </c>
    </row>
    <row r="44">
      <c r="A44">
        <f>'Lista de prețuri'!C49</f>
        <v/>
      </c>
      <c r="B44" t="inlineStr">
        <is>
          <t>https://ozonteh.net/product/freza-rotativa-cu-deplasare-shaktiman-vls/</t>
        </is>
      </c>
      <c r="C44">
        <f>IF(ISNUMBER('Lista de prețuri'!E49),'Lista de prețuri'!E49,IF(ISNUMBER('Lista de prețuri'!D49),'Lista de prețuri'!D49,"La cerere"))</f>
        <v/>
      </c>
      <c r="D44">
        <f>'Lista de prețuri'!D49</f>
        <v/>
      </c>
      <c r="E44">
        <f>IF(ISNUMBER('Lista de prețuri'!E49),'Lista de prețuri'!E49,"")</f>
        <v/>
      </c>
      <c r="F44" t="inlineStr">
        <is>
          <t>https://docs.google.com/spreadsheets/d/1xsvNvaPNe-NVkyI_Ox4R7eJb0YfBvu7pDYVxXiSfFdM/edit?usp=sharing</t>
        </is>
      </c>
      <c r="G44" t="inlineStr">
        <is>
          <t>Freze de sol</t>
        </is>
      </c>
    </row>
    <row r="45">
      <c r="A45">
        <f>'Lista de prețuri'!C50</f>
        <v/>
      </c>
      <c r="B45" t="inlineStr">
        <is>
          <t>https://ozonteh.net/product/freza-rotativa-cu-deplasare-shaktiman-vls/</t>
        </is>
      </c>
      <c r="C45">
        <f>IF(ISNUMBER('Lista de prețuri'!E50),'Lista de prețuri'!E50,IF(ISNUMBER('Lista de prețuri'!D50),'Lista de prețuri'!D50,"La cerere"))</f>
        <v/>
      </c>
      <c r="D45">
        <f>'Lista de prețuri'!D50</f>
        <v/>
      </c>
      <c r="E45">
        <f>IF(ISNUMBER('Lista de prețuri'!E50),'Lista de prețuri'!E50,"")</f>
        <v/>
      </c>
      <c r="G45" t="inlineStr">
        <is>
          <t>Freze de sol</t>
        </is>
      </c>
    </row>
    <row r="46">
      <c r="A46">
        <f>'Lista de prețuri'!C51</f>
        <v/>
      </c>
      <c r="B46" t="inlineStr">
        <is>
          <t>https://ozonteh.net/product/freza-rotativa-cu-deplasare-shaktiman-vls/</t>
        </is>
      </c>
      <c r="C46">
        <f>IF(ISNUMBER('Lista de prețuri'!E51),'Lista de prețuri'!E51,IF(ISNUMBER('Lista de prețuri'!D51),'Lista de prețuri'!D51,"La cerere"))</f>
        <v/>
      </c>
      <c r="D46">
        <f>'Lista de prețuri'!D51</f>
        <v/>
      </c>
      <c r="E46">
        <f>IF(ISNUMBER('Lista de prețuri'!E51),'Lista de prețuri'!E51,"")</f>
        <v/>
      </c>
      <c r="G46" t="inlineStr">
        <is>
          <t>Freze de sol</t>
        </is>
      </c>
    </row>
    <row r="47">
      <c r="A47">
        <f>'Lista de prețuri'!C52</f>
        <v/>
      </c>
      <c r="B47" t="inlineStr">
        <is>
          <t>https://ozonteh.net/product/freza-rotativa-cu-deplasare-shaktiman-vls/</t>
        </is>
      </c>
      <c r="C47">
        <f>IF(ISNUMBER('Lista de prețuri'!E52),'Lista de prețuri'!E52,IF(ISNUMBER('Lista de prețuri'!D52),'Lista de prețuri'!D52,"La cerere"))</f>
        <v/>
      </c>
      <c r="D47">
        <f>'Lista de prețuri'!D52</f>
        <v/>
      </c>
      <c r="E47">
        <f>IF(ISNUMBER('Lista de prețuri'!E52),'Lista de prețuri'!E52,"")</f>
        <v/>
      </c>
      <c r="G47" t="inlineStr">
        <is>
          <t>Freze de sol</t>
        </is>
      </c>
    </row>
    <row r="48">
      <c r="A48">
        <f>'Lista de prețuri'!C53</f>
        <v/>
      </c>
      <c r="B48" t="inlineStr">
        <is>
          <t>https://ozonteh.net/product/freza-inter-rand-shaktiman-ic/</t>
        </is>
      </c>
      <c r="C48">
        <f>IF(ISNUMBER('Lista de prețuri'!E53),'Lista de prețuri'!E53,IF(ISNUMBER('Lista de prețuri'!D53),'Lista de prețuri'!D53,"La cerere"))</f>
        <v/>
      </c>
      <c r="D48">
        <f>'Lista de prețuri'!D53</f>
        <v/>
      </c>
      <c r="E48">
        <f>IF(ISNUMBER('Lista de prețuri'!E53),'Lista de prețuri'!E53,"")</f>
        <v/>
      </c>
      <c r="F48" t="inlineStr">
        <is>
          <t>https://docs.google.com/spreadsheets/d/1Ovj0yZktbVayxfUmThiI23cuLu1PJC7IWxzH44kNqoY/edit?usp=sharing</t>
        </is>
      </c>
      <c r="G48" t="inlineStr">
        <is>
          <t>Freze de sol</t>
        </is>
      </c>
    </row>
    <row r="49">
      <c r="A49">
        <f>'Lista de prețuri'!C54</f>
        <v/>
      </c>
      <c r="B49" t="inlineStr">
        <is>
          <t>https://ozonteh.net/product/freza-cu-cadru-flexibil-srt/</t>
        </is>
      </c>
      <c r="C49">
        <f>IF(ISNUMBER('Lista de prețuri'!E54),'Lista de prețuri'!E54,IF(ISNUMBER('Lista de prețuri'!D54),'Lista de prețuri'!D54,"La cerere"))</f>
        <v/>
      </c>
      <c r="D49">
        <f>'Lista de prețuri'!D54</f>
        <v/>
      </c>
      <c r="E49">
        <f>IF(ISNUMBER('Lista de prețuri'!E54),'Lista de prețuri'!E54,"")</f>
        <v/>
      </c>
      <c r="F49" t="inlineStr">
        <is>
          <t>https://docs.google.com/spreadsheets/d/1NYjFyuRu75TJYYhpRnPjZsf3S2UlwVwB_14TndMvGFM/edit?usp=sharing</t>
        </is>
      </c>
      <c r="G49" t="inlineStr">
        <is>
          <t>Freze de sol</t>
        </is>
      </c>
    </row>
    <row r="50">
      <c r="A50">
        <f>'Lista de prețuri'!C55</f>
        <v/>
      </c>
      <c r="B50" t="inlineStr">
        <is>
          <t>https://ozonteh.net/product/freza-cu-cadru-flexibil-srt/</t>
        </is>
      </c>
      <c r="C50">
        <f>IF(ISNUMBER('Lista de prețuri'!E55),'Lista de prețuri'!E55,IF(ISNUMBER('Lista de prețuri'!D55),'Lista de prețuri'!D55,"La cerere"))</f>
        <v/>
      </c>
      <c r="D50">
        <f>'Lista de prețuri'!D55</f>
        <v/>
      </c>
      <c r="E50">
        <f>IF(ISNUMBER('Lista de prețuri'!E55),'Lista de prețuri'!E55,"")</f>
        <v/>
      </c>
      <c r="F50" t="inlineStr">
        <is>
          <t>https://docs.google.com/spreadsheets/d/1elEV2ncymgVD8w1p7XrPzYyFjHPDR9samZYA11fCdqs/edit?usp=sharing</t>
        </is>
      </c>
      <c r="G50" t="inlineStr">
        <is>
          <t>Freze de sol</t>
        </is>
      </c>
    </row>
    <row r="51">
      <c r="A51">
        <f>'Lista de prețuri'!C57</f>
        <v/>
      </c>
      <c r="B51" t="inlineStr">
        <is>
          <t>https://ozonteh.net/product/grapa-rotativa-shaktiman-srp/</t>
        </is>
      </c>
      <c r="C51">
        <f>IF(ISNUMBER('Lista de prețuri'!E57),'Lista de prețuri'!E57,IF(ISNUMBER('Lista de prețuri'!D57),'Lista de prețuri'!D57,"La cerere"))</f>
        <v/>
      </c>
      <c r="D51">
        <f>'Lista de prețuri'!D57</f>
        <v/>
      </c>
      <c r="E51">
        <f>IF(ISNUMBER('Lista de prețuri'!E57),'Lista de prețuri'!E57,"")</f>
        <v/>
      </c>
      <c r="F51" t="inlineStr">
        <is>
          <t>https://docs.google.com/spreadsheets/d/12XXWF2WdB0QXp1F_xEnH-s_KMQB7QaaKCv5mHOugXCI/edit?usp=sharing</t>
        </is>
      </c>
      <c r="G51" t="inlineStr">
        <is>
          <t>Grape rotative</t>
        </is>
      </c>
    </row>
    <row r="52">
      <c r="A52">
        <f>'Lista de prețuri'!C58</f>
        <v/>
      </c>
      <c r="B52" t="inlineStr">
        <is>
          <t>https://ozonteh.net/product/grapa-rotativa-shaktiman-srp/</t>
        </is>
      </c>
      <c r="C52">
        <f>IF(ISNUMBER('Lista de prețuri'!E58),'Lista de prețuri'!E58,IF(ISNUMBER('Lista de prețuri'!D58),'Lista de prețuri'!D58,"La cerere"))</f>
        <v/>
      </c>
      <c r="D52">
        <f>'Lista de prețuri'!D58</f>
        <v/>
      </c>
      <c r="E52">
        <f>IF(ISNUMBER('Lista de prețuri'!E58),'Lista de prețuri'!E58,"")</f>
        <v/>
      </c>
      <c r="F52" t="inlineStr">
        <is>
          <t>https://docs.google.com/spreadsheets/d/14Pf4Ygplb6w_PQEmbUvzOtUFe3A_3_sNaMyp7omyDLA/edit?usp=sharing</t>
        </is>
      </c>
      <c r="G52" t="inlineStr">
        <is>
          <t>Grape rotative</t>
        </is>
      </c>
    </row>
    <row r="53">
      <c r="A53">
        <f>'Lista de prețuri'!C60</f>
        <v/>
      </c>
      <c r="B53" t="inlineStr">
        <is>
          <t>https://ozonteh.net/product/pluguri-reversibile-shaktiman/</t>
        </is>
      </c>
      <c r="C53">
        <f>IF(ISNUMBER('Lista de prețuri'!E60),'Lista de prețuri'!E60,IF(ISNUMBER('Lista de prețuri'!D60),'Lista de prețuri'!D60,"La cerere"))</f>
        <v/>
      </c>
      <c r="D53">
        <f>'Lista de prețuri'!D60</f>
        <v/>
      </c>
      <c r="E53">
        <f>IF(ISNUMBER('Lista de prețuri'!E60),'Lista de prețuri'!E60,"")</f>
        <v/>
      </c>
      <c r="F53" t="inlineStr">
        <is>
          <t>https://docs.google.com/spreadsheets/d/1BgJft15O2wMluQq03gyPiBQ-faXXA6A4v_Y2TjYjzdI/edit?usp=sharing</t>
        </is>
      </c>
      <c r="G53" t="inlineStr">
        <is>
          <t>Pluguri și scarificatoare</t>
        </is>
      </c>
    </row>
    <row r="54">
      <c r="A54">
        <f>'Lista de prețuri'!C61</f>
        <v/>
      </c>
      <c r="B54" t="inlineStr">
        <is>
          <t>https://ozonteh.net/product/pluguri-reversibile-shaktiman/</t>
        </is>
      </c>
      <c r="C54">
        <f>IF(ISNUMBER('Lista de prețuri'!E61),'Lista de prețuri'!E61,IF(ISNUMBER('Lista de prețuri'!D61),'Lista de prețuri'!D61,"La cerere"))</f>
        <v/>
      </c>
      <c r="D54">
        <f>'Lista de prețuri'!D61</f>
        <v/>
      </c>
      <c r="E54">
        <f>IF(ISNUMBER('Lista de prețuri'!E61),'Lista de prețuri'!E61,"")</f>
        <v/>
      </c>
      <c r="F54" t="inlineStr">
        <is>
          <t>https://docs.google.com/spreadsheets/d/1voNTdosIV-IrjNGhj90FudAfoHXcy1Z0f9-5rzgl1YU/edit?usp=sharing</t>
        </is>
      </c>
      <c r="G54" t="inlineStr">
        <is>
          <t>Pluguri și scarificatoare</t>
        </is>
      </c>
    </row>
    <row r="55">
      <c r="A55">
        <f>'Lista de prețuri'!C62</f>
        <v/>
      </c>
      <c r="B55" t="inlineStr">
        <is>
          <t>https://ozonteh.net/product/scarificator-shaktiman-sdc-5t/</t>
        </is>
      </c>
      <c r="C55">
        <f>IF(ISNUMBER('Lista de prețuri'!E62),'Lista de prețuri'!E62,IF(ISNUMBER('Lista de prețuri'!D62),'Lista de prețuri'!D62,"La cerere"))</f>
        <v/>
      </c>
      <c r="D55">
        <f>'Lista de prețuri'!D62</f>
        <v/>
      </c>
      <c r="E55">
        <f>IF(ISNUMBER('Lista de prețuri'!E62),'Lista de prețuri'!E62,"")</f>
        <v/>
      </c>
      <c r="F55" t="inlineStr">
        <is>
          <t>https://docs.google.com/spreadsheets/d/1y4f5JcWbb1VypgJG0pF-VEGw_r1o5AnbpigHm_JWU7o/edit?usp=sharing</t>
        </is>
      </c>
      <c r="G55" t="inlineStr">
        <is>
          <t>Pluguri și scarificatoare</t>
        </is>
      </c>
    </row>
    <row r="56">
      <c r="A56">
        <f>'Lista de prețuri'!C64</f>
        <v/>
      </c>
      <c r="B56" t="inlineStr">
        <is>
          <t>https://ozonteh.net/product/semanatoare-pneumatica-de-precizie-shaktiman-svpp/</t>
        </is>
      </c>
      <c r="C56">
        <f>IF(ISNUMBER('Lista de prețuri'!E64),'Lista de prețuri'!E64,IF(ISNUMBER('Lista de prețuri'!D64),'Lista de prețuri'!D64,"La cerere"))</f>
        <v/>
      </c>
      <c r="D56">
        <f>'Lista de prețuri'!D64</f>
        <v/>
      </c>
      <c r="E56">
        <f>IF(ISNUMBER('Lista de prețuri'!E64),'Lista de prețuri'!E64,"")</f>
        <v/>
      </c>
      <c r="F56" t="inlineStr">
        <is>
          <t>https://docs.google.com/spreadsheets/d/1qV4uXvi2EXzugQXk5kkB-6Z5xMFXaIt04NSuloTz090/edit?usp=sharing</t>
        </is>
      </c>
      <c r="G56" t="inlineStr">
        <is>
          <t>Semănători</t>
        </is>
      </c>
    </row>
    <row r="57">
      <c r="A57">
        <f>'Lista de prețuri'!C66</f>
        <v/>
      </c>
      <c r="B57" t="inlineStr">
        <is>
          <t>https://ozonteh.net/product/cositoarea-cu-tambur-shaktiman-sdm/</t>
        </is>
      </c>
      <c r="C57">
        <f>IF(ISNUMBER('Lista de prețuri'!E66),'Lista de prețuri'!E66,IF(ISNUMBER('Lista de prețuri'!D66),'Lista de prețuri'!D66,"La cerere"))</f>
        <v/>
      </c>
      <c r="D57">
        <f>'Lista de prețuri'!D66</f>
        <v/>
      </c>
      <c r="E57">
        <f>IF(ISNUMBER('Lista de prețuri'!E66),'Lista de prețuri'!E66,"")</f>
        <v/>
      </c>
      <c r="F57" t="inlineStr">
        <is>
          <t>https://docs.google.com/spreadsheets/d/1zq6hJLcgPXYyxLweQB7OG6lgtq5dAoK9cCPafTGG3-w/edit?usp=sharing</t>
        </is>
      </c>
      <c r="G57" t="inlineStr">
        <is>
          <t>Cositori și greble</t>
        </is>
      </c>
    </row>
    <row r="58">
      <c r="A58">
        <f>'Lista de prețuri'!C67</f>
        <v/>
      </c>
      <c r="B58" t="inlineStr">
        <is>
          <t>https://ozonteh.net/product/cositoarea-plata-shaktiman-srs/</t>
        </is>
      </c>
      <c r="C58">
        <f>IF(ISNUMBER('Lista de prețuri'!E67),'Lista de prețuri'!E67,IF(ISNUMBER('Lista de prețuri'!D67),'Lista de prețuri'!D67,"La cerere"))</f>
        <v/>
      </c>
      <c r="D58">
        <f>'Lista de prețuri'!D67</f>
        <v/>
      </c>
      <c r="E58">
        <f>IF(ISNUMBER('Lista de prețuri'!E67),'Lista de prețuri'!E67,"")</f>
        <v/>
      </c>
      <c r="F58" t="inlineStr">
        <is>
          <t>https://docs.google.com/spreadsheets/d/1CEzpJ9wPPgCnbDilI_BEt6_BkEAR8hIBKNKh4j2qGXo/edit?usp=sharing</t>
        </is>
      </c>
      <c r="G58" t="inlineStr">
        <is>
          <t>Cositori și greble</t>
        </is>
      </c>
    </row>
    <row r="59">
      <c r="A59">
        <f>'Lista de prețuri'!C68</f>
        <v/>
      </c>
      <c r="B59" t="inlineStr">
        <is>
          <t>https://ozonteh.net/product/cositoarea-plata-shaktiman-srs/</t>
        </is>
      </c>
      <c r="C59">
        <f>IF(ISNUMBER('Lista de prețuri'!E68),'Lista de prețuri'!E68,IF(ISNUMBER('Lista de prețuri'!D68),'Lista de prețuri'!D68,"La cerere"))</f>
        <v/>
      </c>
      <c r="D59">
        <f>'Lista de prețuri'!D68</f>
        <v/>
      </c>
      <c r="E59">
        <f>IF(ISNUMBER('Lista de prețuri'!E68),'Lista de prețuri'!E68,"")</f>
        <v/>
      </c>
      <c r="F59" t="inlineStr">
        <is>
          <t>https://docs.google.com/spreadsheets/d/1LQx3qOWVImkVYkRwEReFnSEKIrZNwGyz47lwAneYPcw/edit?gid=1009003650</t>
        </is>
      </c>
      <c r="G59" t="inlineStr">
        <is>
          <t>Cositori și greble</t>
        </is>
      </c>
    </row>
    <row r="60">
      <c r="A60">
        <f>'Lista de prețuri'!C69</f>
        <v/>
      </c>
      <c r="B60" t="inlineStr">
        <is>
          <t>https://ozonteh.net/product/cositoarea-plata-shaktiman-srs/</t>
        </is>
      </c>
      <c r="C60">
        <f>IF(ISNUMBER('Lista de prețuri'!E69),'Lista de prețuri'!E69,IF(ISNUMBER('Lista de prețuri'!D69),'Lista de prețuri'!D69,"La cerere"))</f>
        <v/>
      </c>
      <c r="D60">
        <f>'Lista de prețuri'!D69</f>
        <v/>
      </c>
      <c r="E60">
        <f>IF(ISNUMBER('Lista de prețuri'!E69),'Lista de prețuri'!E69,"")</f>
        <v/>
      </c>
      <c r="F60" t="inlineStr">
        <is>
          <t>https://docs.google.com/spreadsheets/d/1WmNMi52qBXGNQHKA6exxO2uOcBCimGUXF1NEDIpTJCo/edit?usp=sharing</t>
        </is>
      </c>
      <c r="G60" t="inlineStr">
        <is>
          <t>Cositori și greble</t>
        </is>
      </c>
    </row>
    <row r="61">
      <c r="A61">
        <f>'Lista de prețuri'!C70</f>
        <v/>
      </c>
      <c r="B61" t="inlineStr">
        <is>
          <t>https://ozonteh.net/product/grebla-rotativa-shaktiman-shr/</t>
        </is>
      </c>
      <c r="C61">
        <f>IF(ISNUMBER('Lista de prețuri'!E70),'Lista de prețuri'!E70,IF(ISNUMBER('Lista de prețuri'!D70),'Lista de prețuri'!D70,"La cerere"))</f>
        <v/>
      </c>
      <c r="D61">
        <f>'Lista de prețuri'!D70</f>
        <v/>
      </c>
      <c r="E61">
        <f>IF(ISNUMBER('Lista de prețuri'!E70),'Lista de prețuri'!E70,"")</f>
        <v/>
      </c>
      <c r="F61" t="inlineStr">
        <is>
          <t>https://docs.google.com/spreadsheets/d/1d6rSOnZfjFQ9fFAaJIVjZhqwEEm3affvuPdPGrn_qrw/edit?usp=sharing</t>
        </is>
      </c>
      <c r="G61" t="inlineStr">
        <is>
          <t>Cositori și greble</t>
        </is>
      </c>
    </row>
    <row r="62">
      <c r="A62">
        <f>'Lista de prețuri'!C72</f>
        <v/>
      </c>
      <c r="B62" t="inlineStr">
        <is>
          <t>https://ozonteh.net/product/presa-de-balotat-rotunzi-shaktiman-srb-120/</t>
        </is>
      </c>
      <c r="C62">
        <f>IF(ISNUMBER('Lista de prețuri'!E72),'Lista de prețuri'!E72,IF(ISNUMBER('Lista de prețuri'!D72),'Lista de prețuri'!D72,"La cerere"))</f>
        <v/>
      </c>
      <c r="D62">
        <f>'Lista de prețuri'!D72</f>
        <v/>
      </c>
      <c r="E62">
        <f>IF(ISNUMBER('Lista de prețuri'!E72),'Lista de prețuri'!E72,"")</f>
        <v/>
      </c>
      <c r="F62" t="inlineStr">
        <is>
          <t>https://docs.google.com/spreadsheets/d/1lmesKFZqP_yFlHLKBuLh-QINxaLIuP2yMBHx7TbYHps/edit?usp=sharing</t>
        </is>
      </c>
      <c r="G62" t="inlineStr">
        <is>
          <t>Prese de balotat</t>
        </is>
      </c>
    </row>
    <row r="63">
      <c r="A63">
        <f>'Lista de prețuri'!C73</f>
        <v/>
      </c>
      <c r="B63" t="inlineStr">
        <is>
          <t>https://ozonteh.net/product/presa-de-balotat-rotunzi-shaktiman-srb-60-plus/</t>
        </is>
      </c>
      <c r="C63">
        <f>IF(ISNUMBER('Lista de prețuri'!E73),'Lista de prețuri'!E73,IF(ISNUMBER('Lista de prețuri'!D73),'Lista de prețuri'!D73,"La cerere"))</f>
        <v/>
      </c>
      <c r="D63">
        <f>'Lista de prețuri'!D73</f>
        <v/>
      </c>
      <c r="E63">
        <f>IF(ISNUMBER('Lista de prețuri'!E73),'Lista de prețuri'!E73,"")</f>
        <v/>
      </c>
      <c r="F63" t="inlineStr">
        <is>
          <t>https://docs.google.com/spreadsheets/d/1vniLDplZzdBBfkgF558M-HNCuAe4iwxrHtL-w8LDRkc/edit?usp=sharing</t>
        </is>
      </c>
      <c r="G63" t="inlineStr">
        <is>
          <t>Prese de balotat</t>
        </is>
      </c>
    </row>
    <row r="64">
      <c r="A64">
        <f>'Lista de prețuri'!C74</f>
        <v/>
      </c>
      <c r="B64" t="inlineStr">
        <is>
          <t>https://ozonteh.net/product/presa-de-balotat-rotunzi-shaktiman-srb-60-plus/</t>
        </is>
      </c>
      <c r="C64">
        <f>IF(ISNUMBER('Lista de prețuri'!E74),'Lista de prețuri'!E74,IF(ISNUMBER('Lista de prețuri'!D74),'Lista de prețuri'!D74,"La cerere"))</f>
        <v/>
      </c>
      <c r="D64">
        <f>'Lista de prețuri'!D74</f>
        <v/>
      </c>
      <c r="E64">
        <f>IF(ISNUMBER('Lista de prețuri'!E74),'Lista de prețuri'!E74,"")</f>
        <v/>
      </c>
      <c r="F64" t="inlineStr">
        <is>
          <t>https://docs.google.com/spreadsheets/d/1yInPkuAEHVzyqfwPiy0Uew55Ockx19jgZeUheqH2Jz4/edit?usp=sharing</t>
        </is>
      </c>
      <c r="G64" t="inlineStr">
        <is>
          <t>Prese de balotat</t>
        </is>
      </c>
    </row>
    <row r="65">
      <c r="A65">
        <f>'Lista de prețuri'!C75</f>
        <v/>
      </c>
      <c r="B65" t="inlineStr">
        <is>
          <t>https://ozonteh.net/product/presa-de-balotat-rotunzi-shaktiman-srb-60-plus/</t>
        </is>
      </c>
      <c r="C65">
        <f>IF(ISNUMBER('Lista de prețuri'!E75),'Lista de prețuri'!E75,IF(ISNUMBER('Lista de prețuri'!D75),'Lista de prețuri'!D75,"La cerere"))</f>
        <v/>
      </c>
      <c r="D65">
        <f>'Lista de prețuri'!D75</f>
        <v/>
      </c>
      <c r="E65">
        <f>IF(ISNUMBER('Lista de prețuri'!E75),'Lista de prețuri'!E75,"")</f>
        <v/>
      </c>
      <c r="F65" t="inlineStr">
        <is>
          <t>https://docs.google.com/spreadsheets/d/1_rqcFlgXHk-i2IEOA99WSAqMN4uRnzpHGIW1sTAWqAU/edit?usp=sharing</t>
        </is>
      </c>
      <c r="G65" t="inlineStr">
        <is>
          <t>Prese de balotat</t>
        </is>
      </c>
    </row>
    <row r="66">
      <c r="A66">
        <f>'Lista de prețuri'!C76</f>
        <v/>
      </c>
      <c r="B66" t="inlineStr">
        <is>
          <t>https://ozonteh.net/product/presa-de-balotat-dreptunghiulara-shaktiman-sbm/</t>
        </is>
      </c>
      <c r="C66">
        <f>IF(ISNUMBER('Lista de prețuri'!E76),'Lista de prețuri'!E76,IF(ISNUMBER('Lista de prețuri'!D76),'Lista de prețuri'!D76,"La cerere"))</f>
        <v/>
      </c>
      <c r="D66">
        <f>'Lista de prețuri'!D76</f>
        <v/>
      </c>
      <c r="E66">
        <f>IF(ISNUMBER('Lista de prețuri'!E76),'Lista de prețuri'!E76,"")</f>
        <v/>
      </c>
      <c r="F66" t="inlineStr">
        <is>
          <t>https://docs.google.com/spreadsheets/d/1MCTFjXoM_mGVDlqhaXWZSr_G-Lvej17VS0nYWIfdhy4/edit?usp=sharing</t>
        </is>
      </c>
      <c r="G66" t="inlineStr">
        <is>
          <t>Prese de balotat</t>
        </is>
      </c>
    </row>
    <row r="67">
      <c r="A67">
        <f>'Lista de prețuri'!C78</f>
        <v/>
      </c>
      <c r="B67" t="inlineStr">
        <is>
          <t>https://ozonteh.net/product/burghiu-shaktiman-sphd/</t>
        </is>
      </c>
      <c r="C67">
        <f>IF(ISNUMBER('Lista de prețuri'!E78),'Lista de prețuri'!E78,IF(ISNUMBER('Lista de prețuri'!D78),'Lista de prețuri'!D78,"La cerere"))</f>
        <v/>
      </c>
      <c r="D67">
        <f>'Lista de prețuri'!D78</f>
        <v/>
      </c>
      <c r="E67">
        <f>IF(ISNUMBER('Lista de prețuri'!E78),'Lista de prețuri'!E78,"")</f>
        <v/>
      </c>
      <c r="F67" t="inlineStr">
        <is>
          <t>https://docs.google.com/spreadsheets/d/13VjtDUw9wO8bEjlKJ60Ymb9W_JPt4wi1dWE2BFiXKiw/edit?usp=sharing</t>
        </is>
      </c>
      <c r="G67" t="inlineStr">
        <is>
          <t>Alte utilaje</t>
        </is>
      </c>
    </row>
    <row r="68">
      <c r="A68">
        <f>'Lista de prețuri'!C79</f>
        <v/>
      </c>
      <c r="B68" t="inlineStr">
        <is>
          <t>https://ozonteh.net/product/amestecator-vertical-de-furaje-svfm/</t>
        </is>
      </c>
      <c r="C68">
        <f>IF(ISNUMBER('Lista de prețuri'!E79),'Lista de prețuri'!E79,IF(ISNUMBER('Lista de prețuri'!D79),'Lista de prețuri'!D79,"La cerere"))</f>
        <v/>
      </c>
      <c r="D68">
        <f>'Lista de prețuri'!D79</f>
        <v/>
      </c>
      <c r="E68">
        <f>IF(ISNUMBER('Lista de prețuri'!E79),'Lista de prețuri'!E79,"")</f>
        <v/>
      </c>
      <c r="F68" t="inlineStr">
        <is>
          <t>https://docs.google.com/spreadsheets/d/1w7p677Zqlk6XRdp7aWUHA1TFt30-ZcduiYVK-EJYCbM/edit?usp=sharing</t>
        </is>
      </c>
      <c r="G68" t="inlineStr">
        <is>
          <t>Alte utilaje</t>
        </is>
      </c>
    </row>
    <row r="69">
      <c r="A69">
        <f>'Lista de prețuri'!C80</f>
        <v/>
      </c>
      <c r="B69" t="inlineStr">
        <is>
          <t>https://ozonteh.net/product/amestecator-vertical-de-furaje-svfm/</t>
        </is>
      </c>
      <c r="C69">
        <f>IF(ISNUMBER('Lista de prețuri'!E80),'Lista de prețuri'!E80,IF(ISNUMBER('Lista de prețuri'!D80),'Lista de prețuri'!D80,"La cerere"))</f>
        <v/>
      </c>
      <c r="D69">
        <f>'Lista de prețuri'!D80</f>
        <v/>
      </c>
      <c r="E69">
        <f>IF(ISNUMBER('Lista de prețuri'!E80),'Lista de prețuri'!E80,"")</f>
        <v/>
      </c>
      <c r="F69" t="inlineStr">
        <is>
          <t>https://docs.google.com/spreadsheets/d/1uhZ12hbRTQN_IwzmosjwUnwIx3ku9mHqyoMptGskTyg/edit?usp=sharing</t>
        </is>
      </c>
      <c r="G69" t="inlineStr">
        <is>
          <t>Alte utilaje</t>
        </is>
      </c>
    </row>
    <row r="70">
      <c r="A70">
        <f>'Lista de prețuri'!C81</f>
        <v/>
      </c>
      <c r="B70" t="inlineStr">
        <is>
          <t>https://ozonteh.net/product/imprastietor-de-compost-shcs-shaktiman/</t>
        </is>
      </c>
      <c r="C70">
        <f>IF(ISNUMBER('Lista de prețuri'!E81),'Lista de prețuri'!E81,IF(ISNUMBER('Lista de prețuri'!D81),'Lista de prețuri'!D81,"La cerere"))</f>
        <v/>
      </c>
      <c r="D70">
        <f>'Lista de prețuri'!D81</f>
        <v/>
      </c>
      <c r="E70">
        <f>IF(ISNUMBER('Lista de prețuri'!E81),'Lista de prețuri'!E81,"")</f>
        <v/>
      </c>
      <c r="F70" t="inlineStr">
        <is>
          <t>https://docs.google.com/spreadsheets/d/1ghi-_j0LE8KD6tGJ4LraacfsPBdycObeCW-T3J0ivGE/edit?usp=sharing</t>
        </is>
      </c>
      <c r="G70" t="inlineStr">
        <is>
          <t>Alte utilaje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2026-10-13T16:47:55Z</dcterms:created>
  <dcterms:modified xmlns:dcterms="http://purl.org/dc/terms/" xmlns:xsi="http://www.w3.org/2001/XMLSchema-instance" xsi:type="dcterms:W3CDTF">2026-10-13T16:47:55Z</dcterms:modified>
</cp:coreProperties>
</file>