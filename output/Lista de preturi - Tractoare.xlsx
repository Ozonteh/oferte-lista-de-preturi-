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rețuri" sheetId="1" state="visible" r:id="rId1"/>
    <sheet xmlns:r="http://schemas.openxmlformats.org/officeDocument/2006/relationships" name="Ofertă comercială" sheetId="2" state="visible" r:id="rId2"/>
    <sheet xmlns:r="http://schemas.openxmlformats.org/officeDocument/2006/relationships" name="Catalog" sheetId="3" state="hidden" r:id="rId3"/>
  </sheets>
  <definedNames>
    <definedName name="Curs">'Lista de prețuri'!$F$3</definedName>
    <definedName name="CotaTVA">'Ofertă comercială'!$F$9</definedName>
    <definedName name="_xlnm.Print_Titles" localSheetId="0">'Lista de prețuri'!$6:$6</definedName>
    <definedName name="_xlnm.Print_Area" localSheetId="1">'Ofertă comercială'!$A$1:$H$50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 &quot;€&quot;"/>
    <numFmt numFmtId="167" formatCode="#,##0 &quot;lei&quot;"/>
  </numFmts>
  <fonts count="21">
    <font>
      <name val="Calibri"/>
      <family val="2"/>
      <color theme="1"/>
      <sz val="11"/>
      <scheme val="minor"/>
    </font>
    <font>
      <name val="Arial"/>
      <b val="1"/>
      <color rgb="0000497E"/>
      <sz val="20"/>
    </font>
    <font>
      <name val="Arial"/>
      <color rgb="00595959"/>
      <sz val="12"/>
    </font>
    <font>
      <name val="Arial"/>
      <b val="1"/>
      <sz val="10"/>
    </font>
    <font>
      <name val="Arial"/>
      <b val="1"/>
      <color rgb="000000FF"/>
      <sz val="10"/>
    </font>
    <font>
      <name val="Arial"/>
      <sz val="10"/>
    </font>
    <font>
      <name val="Arial"/>
      <color rgb="00595959"/>
      <sz val="9"/>
    </font>
    <font>
      <name val="Arial"/>
      <b val="1"/>
      <color rgb="00FFFFFF"/>
      <sz val="10"/>
    </font>
    <font>
      <name val="Arial"/>
      <b val="1"/>
      <color rgb="0000497E"/>
      <sz val="11"/>
    </font>
    <font>
      <name val="Arial"/>
      <color rgb="00595959"/>
      <sz val="10"/>
    </font>
    <font>
      <name val="Arial"/>
      <sz val="11"/>
    </font>
    <font>
      <name val="Arial"/>
      <b val="1"/>
      <sz val="11"/>
    </font>
    <font>
      <name val="Arial"/>
      <color rgb="000563C1"/>
      <sz val="10"/>
      <u val="single"/>
    </font>
    <font>
      <name val="Arial"/>
      <b val="1"/>
      <color rgb="00C00000"/>
      <sz val="11"/>
    </font>
    <font>
      <name val="Arial"/>
      <color rgb="00D9D9D9"/>
      <sz val="10"/>
    </font>
    <font>
      <name val="Arial"/>
      <i val="1"/>
      <color rgb="00595959"/>
      <sz val="9"/>
    </font>
    <font>
      <name val="Arial"/>
      <b val="1"/>
      <color rgb="0000497E"/>
      <sz val="12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563C1"/>
      <sz val="9"/>
      <u val="single"/>
    </font>
    <font>
      <name val="Arial"/>
      <b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00497E"/>
      </patternFill>
    </fill>
    <fill>
      <patternFill patternType="solid">
        <fgColor rgb="00E3EEF6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D9D9"/>
      </bottom>
    </border>
    <border>
      <bottom style="medium">
        <color rgb="0000497E"/>
      </bottom>
    </border>
    <border>
      <bottom style="thin">
        <color rgb="00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vertical="center" indent="1"/>
    </xf>
    <xf numFmtId="0" fontId="9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0" borderId="2" applyAlignment="1" pivotButton="0" quotePrefix="0" xfId="0">
      <alignment vertical="center" wrapText="1" indent="1"/>
    </xf>
    <xf numFmtId="166" fontId="11" fillId="0" borderId="2" applyAlignment="1" pivotButton="0" quotePrefix="0" xfId="0">
      <alignment horizontal="center" vertical="center" wrapText="1"/>
    </xf>
    <xf numFmtId="167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 wrapText="1"/>
    </xf>
    <xf numFmtId="0" fontId="12" fillId="0" borderId="2" applyAlignment="1" pivotButton="0" quotePrefix="0" xfId="0">
      <alignment horizontal="center" vertical="center" wrapText="1"/>
    </xf>
    <xf numFmtId="166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0" fillId="0" borderId="3" pivotButton="0" quotePrefix="0" xfId="0"/>
    <xf numFmtId="0" fontId="1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20" fillId="0" borderId="0" pivotButton="0" quotePrefix="0" xfId="0"/>
    <xf numFmtId="2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vertical="center" indent="1"/>
    </xf>
    <xf numFmtId="0" fontId="3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166" fontId="18" fillId="4" borderId="1" applyAlignment="1" pivotButton="0" quotePrefix="0" xfId="0">
      <alignment horizontal="center" vertical="center"/>
    </xf>
    <xf numFmtId="167" fontId="18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166" fontId="17" fillId="2" borderId="1" applyAlignment="1" pivotButton="0" quotePrefix="0" xfId="0">
      <alignment horizontal="center" vertical="center"/>
    </xf>
    <xf numFmtId="167" fontId="17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0" fillId="0" borderId="4" pivotButton="0" quotePrefix="0" xfId="0"/>
    <xf numFmtId="0" fontId="19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pn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pn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pn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/Relationships>
</file>

<file path=xl/drawings/_rels/drawing2.xml.rels><Relationships xmlns="http://schemas.openxmlformats.org/package/2006/relationships"><Relationship Type="http://schemas.openxmlformats.org/officeDocument/2006/relationships/image" Target="/xl/media/image39.png" Id="rId1"/><Relationship Type="http://schemas.openxmlformats.org/officeDocument/2006/relationships/image" Target="/xl/media/image40.png" Id="rId2"/></Relationships>
</file>

<file path=xl/drawings/drawing1.xml><?xml version="1.0" encoding="utf-8"?>
<wsDr xmlns="http://schemas.openxmlformats.org/drawingml/2006/spreadsheetDrawing">
  <oneCellAnchor>
    <from>
      <col>0</col>
      <colOff>76200</colOff>
      <row>0</row>
      <rowOff>95250</rowOff>
    </from>
    <ext cx="142875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695325</colOff>
      <row>6</row>
      <rowOff>57150</rowOff>
    </from>
    <ext cx="1238250" cy="266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400050</colOff>
      <row>7</row>
      <rowOff>28575</rowOff>
    </from>
    <ext cx="514350" cy="514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419100</colOff>
      <row>8</row>
      <rowOff>28575</rowOff>
    </from>
    <ext cx="476250" cy="514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400050</colOff>
      <row>9</row>
      <rowOff>28575</rowOff>
    </from>
    <ext cx="514350" cy="514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10</row>
      <rowOff>28575</rowOff>
    </from>
    <ext cx="485775" cy="514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390525</colOff>
      <row>11</row>
      <rowOff>28575</rowOff>
    </from>
    <ext cx="523875" cy="514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323850</colOff>
      <row>12</row>
      <rowOff>28575</rowOff>
    </from>
    <ext cx="657225" cy="514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419100</colOff>
      <row>13</row>
      <rowOff>28575</rowOff>
    </from>
    <ext cx="476250" cy="514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14</row>
      <rowOff>28575</rowOff>
    </from>
    <ext cx="495300" cy="514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361950</colOff>
      <row>15</row>
      <rowOff>28575</rowOff>
    </from>
    <ext cx="581025" cy="514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381000</colOff>
      <row>16</row>
      <rowOff>28575</rowOff>
    </from>
    <ext cx="542925" cy="514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419100</colOff>
      <row>17</row>
      <rowOff>28575</rowOff>
    </from>
    <ext cx="466725" cy="514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18</row>
      <rowOff>28575</rowOff>
    </from>
    <ext cx="628650" cy="5143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381000</colOff>
      <row>19</row>
      <rowOff>28575</rowOff>
    </from>
    <ext cx="542925" cy="5143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361950</colOff>
      <row>20</row>
      <rowOff>28575</rowOff>
    </from>
    <ext cx="590550" cy="5143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704850</colOff>
      <row>21</row>
      <rowOff>47625</rowOff>
    </from>
    <ext cx="1228725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371475</colOff>
      <row>22</row>
      <rowOff>28575</rowOff>
    </from>
    <ext cx="561975" cy="5143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371475</colOff>
      <row>23</row>
      <rowOff>28575</rowOff>
    </from>
    <ext cx="571500" cy="5143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400050</colOff>
      <row>24</row>
      <rowOff>28575</rowOff>
    </from>
    <ext cx="514350" cy="5143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25</row>
      <rowOff>28575</rowOff>
    </from>
    <ext cx="628650" cy="5143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323850</colOff>
      <row>26</row>
      <rowOff>28575</rowOff>
    </from>
    <ext cx="657225" cy="5143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323850</colOff>
      <row>27</row>
      <rowOff>28575</rowOff>
    </from>
    <ext cx="657225" cy="5143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381000</colOff>
      <row>28</row>
      <rowOff>28575</rowOff>
    </from>
    <ext cx="552450" cy="5143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29</row>
      <rowOff>28575</rowOff>
    </from>
    <ext cx="485775" cy="5143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942975</colOff>
      <row>30</row>
      <rowOff>47625</rowOff>
    </from>
    <ext cx="990600" cy="285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314325</colOff>
      <row>31</row>
      <rowOff>28575</rowOff>
    </from>
    <ext cx="685800" cy="5143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266700</colOff>
      <row>32</row>
      <rowOff>28575</rowOff>
    </from>
    <ext cx="771525" cy="5143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295275</colOff>
      <row>33</row>
      <rowOff>28575</rowOff>
    </from>
    <ext cx="714375" cy="5143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1276350</colOff>
      <row>34</row>
      <rowOff>47625</rowOff>
    </from>
    <ext cx="657225" cy="285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352425</colOff>
      <row>35</row>
      <rowOff>28575</rowOff>
    </from>
    <ext cx="600075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342900</colOff>
      <row>36</row>
      <rowOff>28575</rowOff>
    </from>
    <ext cx="628650" cy="5143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333375</colOff>
      <row>37</row>
      <rowOff>28575</rowOff>
    </from>
    <ext cx="647700" cy="5143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371475</colOff>
      <row>38</row>
      <rowOff>28575</rowOff>
    </from>
    <ext cx="561975" cy="5143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381000</colOff>
      <row>39</row>
      <rowOff>28575</rowOff>
    </from>
    <ext cx="552450" cy="5143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333375</colOff>
      <row>40</row>
      <rowOff>28575</rowOff>
    </from>
    <ext cx="647700" cy="5143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390525</colOff>
      <row>41</row>
      <rowOff>28575</rowOff>
    </from>
    <ext cx="523875" cy="5143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323850</colOff>
      <row>42</row>
      <rowOff>28575</rowOff>
    </from>
    <ext cx="657225" cy="5143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38100</colOff>
      <row>0</row>
      <rowOff>38100</rowOff>
    </from>
    <ext cx="1762125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381000</colOff>
      <row>45</row>
      <rowOff>0</rowOff>
    </from>
    <ext cx="9144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zonteh.net/product/tractor-ls-mt1-25-hst-fr-stage-v/" TargetMode="External" Id="rId1"/><Relationship Type="http://schemas.openxmlformats.org/officeDocument/2006/relationships/hyperlink" Target="https://docs.google.com/spreadsheets/d/1d-DPcMuOkaZlDNGeg9TxpVeKWLoCmQmcg_WQlKofOYw/edit?usp=sharing" TargetMode="External" Id="rId2"/><Relationship Type="http://schemas.openxmlformats.org/officeDocument/2006/relationships/hyperlink" Target="https://ozonteh.net/product/tractor-xj25-mt-fr-stage-v/" TargetMode="External" Id="rId3"/><Relationship Type="http://schemas.openxmlformats.org/officeDocument/2006/relationships/hyperlink" Target="https://docs.google.com/spreadsheets/d/1VQUUmNMOugokWzoEBQteocTw_VVBCUisyUYrb1yNTNg/edit?usp=sharing" TargetMode="External" Id="rId4"/><Relationship Type="http://schemas.openxmlformats.org/officeDocument/2006/relationships/hyperlink" Target="https://ozonteh.net/product/tractor-mt3-40-mt-cab-stage-v/" TargetMode="External" Id="rId5"/><Relationship Type="http://schemas.openxmlformats.org/officeDocument/2006/relationships/hyperlink" Target="https://docs.google.com/spreadsheets/d/1yYM2gIqSNpscZ1f5BRUCLptsh20Yj_aWCqxgiDdFRHI/edit?usp=sharing" TargetMode="External" Id="rId6"/><Relationship Type="http://schemas.openxmlformats.org/officeDocument/2006/relationships/hyperlink" Target="https://ozonteh.net/product/tractor-mt3-50-mt-cab-stage-v/" TargetMode="External" Id="rId7"/><Relationship Type="http://schemas.openxmlformats.org/officeDocument/2006/relationships/hyperlink" Target="https://docs.google.com/spreadsheets/d/1hwIsvZr-t15z8L8x6ttimy04T5xt7_Om8mN38PicCxE/edit?usp=sharing" TargetMode="External" Id="rId8"/><Relationship Type="http://schemas.openxmlformats.org/officeDocument/2006/relationships/hyperlink" Target="https://ozonteh.net/product/tractor-mt3-60-mt-cab-stage-v/" TargetMode="External" Id="rId9"/><Relationship Type="http://schemas.openxmlformats.org/officeDocument/2006/relationships/hyperlink" Target="https://docs.google.com/spreadsheets/d/1e4uZ5T07wzVUbhO9i8vLj7ReTvCsVDTt7KYoZ_i_kEU/edit?usp=sharing" TargetMode="External" Id="rId10"/><Relationship Type="http://schemas.openxmlformats.org/officeDocument/2006/relationships/hyperlink" Target="https://ozonteh.net/product/tractor-r36i-mt-fr-non-eu/" TargetMode="External" Id="rId11"/><Relationship Type="http://schemas.openxmlformats.org/officeDocument/2006/relationships/hyperlink" Target="https://docs.google.com/spreadsheets/d/1bF0osNx7iTzx2rOInxHjgC4tdJ-VqUR4iagR6EDNOow/edit?usp=sharing" TargetMode="External" Id="rId12"/><Relationship Type="http://schemas.openxmlformats.org/officeDocument/2006/relationships/hyperlink" Target="https://ozonteh.net/product/tractor-r60-mt-fr-non-eu/" TargetMode="External" Id="rId13"/><Relationship Type="http://schemas.openxmlformats.org/officeDocument/2006/relationships/hyperlink" Target="https://docs.google.com/spreadsheets/d/1zmWso-JJ1cTvMqmt0iXACNiYgEGPBAVS7_HjC191RC0/edit?usp=sharing" TargetMode="External" Id="rId14"/><Relationship Type="http://schemas.openxmlformats.org/officeDocument/2006/relationships/hyperlink" Target="https://ozonteh.net/product/tractor-r65-mt-cab-non-eu/" TargetMode="External" Id="rId15"/><Relationship Type="http://schemas.openxmlformats.org/officeDocument/2006/relationships/hyperlink" Target="https://docs.google.com/spreadsheets/d/1vSn7oGUQqW-85Mfe3gS_XxdNMBYkywPC5ALg2EL10XA/edit?usp=sharing" TargetMode="External" Id="rId16"/><Relationship Type="http://schemas.openxmlformats.org/officeDocument/2006/relationships/hyperlink" Target="https://ozonteh.net/product/tractor-xr50-mt-cab-non-eu/" TargetMode="External" Id="rId17"/><Relationship Type="http://schemas.openxmlformats.org/officeDocument/2006/relationships/hyperlink" Target="https://docs.google.com/spreadsheets/d/1XFH7SnDTHnhod_jWpoSeXCdjaGhVQHgZlP3eILJ-bIU/edit?usp=sharing" TargetMode="External" Id="rId18"/><Relationship Type="http://schemas.openxmlformats.org/officeDocument/2006/relationships/hyperlink" Target="https://ozonteh.net/product/tractor-u60-mt-cab-non-eu/" TargetMode="External" Id="rId19"/><Relationship Type="http://schemas.openxmlformats.org/officeDocument/2006/relationships/hyperlink" Target="https://docs.google.com/spreadsheets/d/1Yp2qwXE6ItWGFFv0_QZmK26EA8jzjg0HotoSA-oyxfs/edit?usp=sharing" TargetMode="External" Id="rId20"/><Relationship Type="http://schemas.openxmlformats.org/officeDocument/2006/relationships/hyperlink" Target="https://ozonteh.net/product/tractor-xu6168-mt-cab-stage-v/" TargetMode="External" Id="rId21"/><Relationship Type="http://schemas.openxmlformats.org/officeDocument/2006/relationships/hyperlink" Target="https://docs.google.com/spreadsheets/d/1rlaXvsPbOROWxPd0MQD5BSPnbHFCkNHQMY3zDutTqKE/edit?usp=sharing" TargetMode="External" Id="rId22"/><Relationship Type="http://schemas.openxmlformats.org/officeDocument/2006/relationships/hyperlink" Target="https://ozonteh.net/product/tractor-mt5-73-ps-cab-stage-v/" TargetMode="External" Id="rId23"/><Relationship Type="http://schemas.openxmlformats.org/officeDocument/2006/relationships/hyperlink" Target="https://docs.google.com/spreadsheets/d/1MqOtJ4FFtNtOWAlbvtaUiyLpjImXTADH7bqVPMMbD9M/edit?usp=sharing" TargetMode="External" Id="rId24"/><Relationship Type="http://schemas.openxmlformats.org/officeDocument/2006/relationships/hyperlink" Target="https://ozonteh.net/product/tractor-plus100-ps-cab-non-eu/" TargetMode="External" Id="rId25"/><Relationship Type="http://schemas.openxmlformats.org/officeDocument/2006/relationships/hyperlink" Target="https://docs.google.com/spreadsheets/d/1Qv2gUR5E1nE5S1gYunl85P6-hxXHzd79zQlD6-xxqtA/edit?usp=sharing" TargetMode="External" Id="rId26"/><Relationship Type="http://schemas.openxmlformats.org/officeDocument/2006/relationships/hyperlink" Target="https://ozonteh.net/product/tractor-mt7-101-ps-cab-stage-v/" TargetMode="External" Id="rId27"/><Relationship Type="http://schemas.openxmlformats.org/officeDocument/2006/relationships/hyperlink" Target="https://docs.google.com/spreadsheets/d/13ONqTTmR2Zf62s0kyweH4SfRjlmGvEhxF_iVzY8fJRk/edit?usp=sharing" TargetMode="External" Id="rId28"/><Relationship Type="http://schemas.openxmlformats.org/officeDocument/2006/relationships/hyperlink" Target="https://ozonteh.net/product/set-farmtrac-26-promotia-care-chiar-are-sens/" TargetMode="External" Id="rId29"/><Relationship Type="http://schemas.openxmlformats.org/officeDocument/2006/relationships/hyperlink" Target="https://docs.google.com/spreadsheets/d/1qgzd4LLxUb_mJYK4Avn5HDe5M2oDXh6Ixm5YlLvRCPE/edit?gid=1986360129" TargetMode="External" Id="rId30"/><Relationship Type="http://schemas.openxmlformats.org/officeDocument/2006/relationships/hyperlink" Target="https://ozonteh.net/product/tractor-farmtrac-26-4wd/" TargetMode="External" Id="rId31"/><Relationship Type="http://schemas.openxmlformats.org/officeDocument/2006/relationships/hyperlink" Target="https://docs.google.com/spreadsheets/d/11UuSQ0REVekn9_O4LlbyYdEGM0jkslyzGYzYWcpKCsA/edit?usp=sharing" TargetMode="External" Id="rId32"/><Relationship Type="http://schemas.openxmlformats.org/officeDocument/2006/relationships/hyperlink" Target="https://ozonteh.net/product/tractor-farmtrac-26-pro-4wd/" TargetMode="External" Id="rId33"/><Relationship Type="http://schemas.openxmlformats.org/officeDocument/2006/relationships/hyperlink" Target="https://docs.google.com/spreadsheets/d/12LTU5OOQ8vHRfnUO9tLrgQl6ZonRziPy30TP1tS44EA/edit?usp=sharing" TargetMode="External" Id="rId34"/><Relationship Type="http://schemas.openxmlformats.org/officeDocument/2006/relationships/hyperlink" Target="https://ozonteh.net/product/tractor-farmtrac-30-4wd/" TargetMode="External" Id="rId35"/><Relationship Type="http://schemas.openxmlformats.org/officeDocument/2006/relationships/hyperlink" Target="https://docs.google.com/spreadsheets/d/1c1YdjDr0M2tUXUIhzRnrKfFuJ61_XafDvtS-C4Qv7QE/edit?usp=sharing" TargetMode="External" Id="rId36"/><Relationship Type="http://schemas.openxmlformats.org/officeDocument/2006/relationships/hyperlink" Target="https://ozonteh.net/product/tractor-farmtrac-35-4wd/" TargetMode="External" Id="rId37"/><Relationship Type="http://schemas.openxmlformats.org/officeDocument/2006/relationships/hyperlink" Target="https://docs.google.com/spreadsheets/d/17D9ucKOf7YvtwIilnGCYHrFhmblyTEC9WuvuhxU2qaw/edit?usp=sharing" TargetMode="External" Id="rId38"/><Relationship Type="http://schemas.openxmlformats.org/officeDocument/2006/relationships/hyperlink" Target="https://ozonteh.net/product/tractor-farmtrac-35-4wd-revers/" TargetMode="External" Id="rId39"/><Relationship Type="http://schemas.openxmlformats.org/officeDocument/2006/relationships/hyperlink" Target="https://docs.google.com/spreadsheets/d/1SvNzZs4N9PmHaDlwd44zFnET_MhjuFZelr8VZJU9VTY/edit?usp=sharing" TargetMode="External" Id="rId40"/><Relationship Type="http://schemas.openxmlformats.org/officeDocument/2006/relationships/hyperlink" Target="https://ozonteh.net/product/tractor-farmtrac-6075n-4wd/" TargetMode="External" Id="rId41"/><Relationship Type="http://schemas.openxmlformats.org/officeDocument/2006/relationships/hyperlink" Target="https://docs.google.com/spreadsheets/d/1IUb9-49zi2UGRtt_OIpBtQsSyXH6hq-hNDmekiqXxak/edit?usp=sharing" TargetMode="External" Id="rId42"/><Relationship Type="http://schemas.openxmlformats.org/officeDocument/2006/relationships/hyperlink" Target="https://ozonteh.net/product/tractor-farmtrac-6075n-4wd-cabina/" TargetMode="External" Id="rId43"/><Relationship Type="http://schemas.openxmlformats.org/officeDocument/2006/relationships/hyperlink" Target="https://docs.google.com/spreadsheets/d/1osJx0Bfkq65Q9UPr31FDNk9tMTXILP38nSmSWw1goVo/edit?usp=sharing" TargetMode="External" Id="rId44"/><Relationship Type="http://schemas.openxmlformats.org/officeDocument/2006/relationships/hyperlink" Target="https://docs.google.com/spreadsheets/d/1OiH8iDBGS1VNKeqDaFMpkKoDRtddIwlhEZLTiaH8xgI/edit?usp=sharing" TargetMode="External" Id="rId45"/><Relationship Type="http://schemas.openxmlformats.org/officeDocument/2006/relationships/hyperlink" Target="https://docs.google.com/spreadsheets/d/1mp_bwI_tNSfqdDCM9C2kj7ydddWlJOtoKzydAnFkAcY/edit?usp=sharing" TargetMode="External" Id="rId46"/><Relationship Type="http://schemas.openxmlformats.org/officeDocument/2006/relationships/hyperlink" Target="https://ozonteh.net/product/tractor-antonio-carraro-trg-9900/" TargetMode="External" Id="rId47"/><Relationship Type="http://schemas.openxmlformats.org/officeDocument/2006/relationships/hyperlink" Target="https://docs.google.com/spreadsheets/d/1ho6jccWImpWFiPzRaBn8gBwQGq5JYORdnChAPFiNxhs/edit?usp=sharing" TargetMode="External" Id="rId48"/><Relationship Type="http://schemas.openxmlformats.org/officeDocument/2006/relationships/hyperlink" Target="https://ozonteh.net/product/tractor-solis-s16/" TargetMode="External" Id="rId49"/><Relationship Type="http://schemas.openxmlformats.org/officeDocument/2006/relationships/hyperlink" Target="https://docs.google.com/spreadsheets/d/14ya2mz7gp8VJtFAB6bhWPSTccHxVuvoZamD9d_GWTcg/edit?usp=sharing" TargetMode="External" Id="rId50"/><Relationship Type="http://schemas.openxmlformats.org/officeDocument/2006/relationships/hyperlink" Target="https://ozonteh.net/product/tractor-solis-s26/" TargetMode="External" Id="rId51"/><Relationship Type="http://schemas.openxmlformats.org/officeDocument/2006/relationships/hyperlink" Target="https://docs.google.com/spreadsheets/d/1XZr3NPhTBdEjyPlSGhdTbu_IpugbQXk408HnlXCjWVI/edit?usp=sharing" TargetMode="External" Id="rId52"/><Relationship Type="http://schemas.openxmlformats.org/officeDocument/2006/relationships/hyperlink" Target="https://ozonteh.net/product/tractor-solis-s26-extra/" TargetMode="External" Id="rId53"/><Relationship Type="http://schemas.openxmlformats.org/officeDocument/2006/relationships/hyperlink" Target="https://docs.google.com/spreadsheets/d/1EbF-n6IP4V1LgoAw5lqCzOsmcEABbfXo9aSioJJSEik/edit?usp=sharing" TargetMode="External" Id="rId54"/><Relationship Type="http://schemas.openxmlformats.org/officeDocument/2006/relationships/hyperlink" Target="https://ozonteh.net/product/tractor-solis-s26-shuttle-xl/" TargetMode="External" Id="rId55"/><Relationship Type="http://schemas.openxmlformats.org/officeDocument/2006/relationships/hyperlink" Target="https://docs.google.com/spreadsheets/d/1Xto9qKPfwfMONUAIAX9y-9dh5JDfYThy33vgktdgAoU/edit?usp=sharing" TargetMode="External" Id="rId56"/><Relationship Type="http://schemas.openxmlformats.org/officeDocument/2006/relationships/hyperlink" Target="https://ozonteh.net/product/tractor-solis-s30/" TargetMode="External" Id="rId57"/><Relationship Type="http://schemas.openxmlformats.org/officeDocument/2006/relationships/hyperlink" Target="https://docs.google.com/spreadsheets/d/1N2nn0zaUJx3Pk72dX0B_dhG40wPfpD4WmGWUpmg5KBE/edit?usp=sharing" TargetMode="External" Id="rId58"/><Relationship Type="http://schemas.openxmlformats.org/officeDocument/2006/relationships/hyperlink" Target="https://ozonteh.net/product/tractor-solis-s32/" TargetMode="External" Id="rId59"/><Relationship Type="http://schemas.openxmlformats.org/officeDocument/2006/relationships/hyperlink" Target="https://docs.google.com/spreadsheets/d/1xxVx9Ko6C-ytFDG3tAnjsR0YajCrOvVoS7NK8PVJcoc/edit?usp=sharing" TargetMode="External" Id="rId60"/><Relationship Type="http://schemas.openxmlformats.org/officeDocument/2006/relationships/hyperlink" Target="https://ozonteh.net/product/tractor-solis-90n/" TargetMode="External" Id="rId61"/><Relationship Type="http://schemas.openxmlformats.org/officeDocument/2006/relationships/hyperlink" Target="https://docs.google.com/spreadsheets/d/1hyt_2iQkL4oARzU_Ixa8ZIVfrL1Zfc3HH7Drmm26KBU/edit?usp=sharing" TargetMode="External" Id="rId62"/><Relationship Type="http://schemas.openxmlformats.org/officeDocument/2006/relationships/hyperlink" Target="https://ozonteh.net/product/tractor-solis-90rx/" TargetMode="External" Id="rId63"/><Relationship Type="http://schemas.openxmlformats.org/officeDocument/2006/relationships/hyperlink" Target="https://docs.google.com/spreadsheets/d/10h2WOGrFCXcbxJoBjbpbDlvyysu5tGFME1b1GT_Q_y4/edit?usp=sharing" TargetMode="External" Id="rId64"/><Relationship Type="http://schemas.openxmlformats.org/officeDocument/2006/relationships/drawing" Target="/xl/drawings/drawing1.xml" Id="rId65"/></Relationships>
</file>

<file path=xl/worksheets/_rels/sheet2.xml.rels><Relationships xmlns="http://schemas.openxmlformats.org/package/2006/relationships"><Relationship Type="http://schemas.openxmlformats.org/officeDocument/2006/relationships/hyperlink" Target="https://ozonteh.net/" TargetMode="External" Id="rId1"/><Relationship Type="http://schemas.openxmlformats.org/officeDocument/2006/relationships/hyperlink" Target="https://ozonteh.net/" TargetMode="External" Id="rId2"/><Relationship Type="http://schemas.openxmlformats.org/officeDocument/2006/relationships/drawing" Target="/xl/drawings/drawing2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50" customWidth="1" min="3" max="3"/>
    <col width="13" customWidth="1" min="4" max="4"/>
    <col width="13" customWidth="1" min="5" max="5"/>
    <col width="15" customWidth="1" min="6" max="6"/>
    <col width="22" customWidth="1" min="7" max="7"/>
    <col width="15" customWidth="1" min="8" max="8"/>
    <col width="16" customWidth="1" min="9" max="9"/>
  </cols>
  <sheetData>
    <row r="1" ht="54" customHeight="1">
      <c r="C1" s="1" t="inlineStr">
        <is>
          <t>LISTA DE PREȚURI</t>
        </is>
      </c>
    </row>
    <row r="2" ht="20" customHeight="1">
      <c r="C2" s="2" t="inlineStr">
        <is>
          <t>Tractoare LS, Farmtrac, Antonio Carraro și Solis</t>
        </is>
      </c>
    </row>
    <row r="3" ht="22" customHeight="1">
      <c r="C3" s="3" t="inlineStr">
        <is>
          <t>Prețuri în EUR, fără TVA</t>
        </is>
      </c>
      <c r="E3" s="4" t="inlineStr">
        <is>
          <t>Curs EUR/MDL:</t>
        </is>
      </c>
      <c r="F3" s="5" t="n">
        <v>20.1</v>
      </c>
      <c r="G3" s="4" t="inlineStr">
        <is>
          <t>Actualizat:</t>
        </is>
      </c>
      <c r="H3" s="6" t="n">
        <v>46308</v>
      </c>
    </row>
    <row r="4" ht="16" customHeight="1">
      <c r="C4" s="7" t="inlineStr">
        <is>
          <t>„Ozonteh Impex” SRL · MD-3701, mun. Strășeni, șos. Chișinău 69, Republica Moldova · office@ozonteh.md · ozonteh.net</t>
        </is>
      </c>
    </row>
    <row r="5" ht="6" customHeight="1"/>
    <row r="6" ht="32" customHeight="1">
      <c r="A6" s="8" t="inlineStr">
        <is>
          <t>Nr.</t>
        </is>
      </c>
      <c r="B6" s="8" t="inlineStr">
        <is>
          <t>Foto</t>
        </is>
      </c>
      <c r="C6" s="9" t="inlineStr">
        <is>
          <t>Denumire produs</t>
        </is>
      </c>
      <c r="D6" s="8" t="inlineStr">
        <is>
          <t>Preț EUR
(fără TVA)</t>
        </is>
      </c>
      <c r="E6" s="8" t="inlineStr">
        <is>
          <t>Preț promo
EUR</t>
        </is>
      </c>
      <c r="F6" s="8" t="inlineStr">
        <is>
          <t>Preț MDL*
(fără TVA)</t>
        </is>
      </c>
      <c r="G6" s="8" t="inlineStr">
        <is>
          <t>Notă</t>
        </is>
      </c>
      <c r="H6" s="8" t="inlineStr">
        <is>
          <t>Pagina
produsului</t>
        </is>
      </c>
      <c r="I6" s="8" t="inlineStr">
        <is>
          <t>Ofertă
comercială</t>
        </is>
      </c>
    </row>
    <row r="7" ht="30" customHeight="1">
      <c r="A7" s="10" t="inlineStr">
        <is>
          <t>TRACTOARE LS  ·  14 modele</t>
        </is>
      </c>
    </row>
    <row r="8" ht="46" customHeight="1">
      <c r="A8" s="11" t="n">
        <v>1</v>
      </c>
      <c r="B8" s="12" t="n"/>
      <c r="C8" s="13" t="inlineStr">
        <is>
          <t>Tractor LS MT1.25 HST FR STAGE V</t>
        </is>
      </c>
      <c r="D8" s="14" t="n">
        <v>12500</v>
      </c>
      <c r="E8" s="12" t="n"/>
      <c r="F8" s="15">
        <f>IF(ISNUMBER(E8),ROUND(E8*Curs,0),IF(ISNUMBER(D8),ROUND(D8*Curs,0),"La cerere"))</f>
        <v/>
      </c>
      <c r="G8" s="16" t="n"/>
      <c r="H8" s="17" t="inlineStr">
        <is>
          <t>Vezi pe site</t>
        </is>
      </c>
      <c r="I8" s="17" t="inlineStr">
        <is>
          <t>Deschide oferta</t>
        </is>
      </c>
    </row>
    <row r="9" ht="46" customHeight="1">
      <c r="A9" s="11" t="n">
        <v>2</v>
      </c>
      <c r="B9" s="12" t="n"/>
      <c r="C9" s="13" t="inlineStr">
        <is>
          <t>Tractor LS XJ25 MT FR STAGE V</t>
        </is>
      </c>
      <c r="D9" s="14" t="n">
        <v>12500</v>
      </c>
      <c r="E9" s="12" t="n"/>
      <c r="F9" s="15">
        <f>IF(ISNUMBER(E9),ROUND(E9*Curs,0),IF(ISNUMBER(D9),ROUND(D9*Curs,0),"La cerere"))</f>
        <v/>
      </c>
      <c r="G9" s="16" t="n"/>
      <c r="H9" s="17" t="inlineStr">
        <is>
          <t>Vezi pe site</t>
        </is>
      </c>
      <c r="I9" s="17" t="inlineStr">
        <is>
          <t>Deschide oferta</t>
        </is>
      </c>
    </row>
    <row r="10" ht="46" customHeight="1">
      <c r="A10" s="11" t="n">
        <v>3</v>
      </c>
      <c r="B10" s="12" t="n"/>
      <c r="C10" s="13" t="inlineStr">
        <is>
          <t>Tractor LS MT3.40 MT CAB STAGE V</t>
        </is>
      </c>
      <c r="D10" s="14" t="n">
        <v>25000</v>
      </c>
      <c r="E10" s="12" t="n"/>
      <c r="F10" s="15">
        <f>IF(ISNUMBER(E10),ROUND(E10*Curs,0),IF(ISNUMBER(D10),ROUND(D10*Curs,0),"La cerere"))</f>
        <v/>
      </c>
      <c r="G10" s="16" t="n"/>
      <c r="H10" s="17" t="inlineStr">
        <is>
          <t>Vezi pe site</t>
        </is>
      </c>
      <c r="I10" s="17" t="inlineStr">
        <is>
          <t>Deschide oferta</t>
        </is>
      </c>
    </row>
    <row r="11" ht="46" customHeight="1">
      <c r="A11" s="11" t="n">
        <v>4</v>
      </c>
      <c r="B11" s="12" t="n"/>
      <c r="C11" s="13" t="inlineStr">
        <is>
          <t>Tractor LS MT3.50 MT CAB STAGE V</t>
        </is>
      </c>
      <c r="D11" s="14" t="n">
        <v>28000</v>
      </c>
      <c r="E11" s="12" t="n"/>
      <c r="F11" s="15">
        <f>IF(ISNUMBER(E11),ROUND(E11*Curs,0),IF(ISNUMBER(D11),ROUND(D11*Curs,0),"La cerere"))</f>
        <v/>
      </c>
      <c r="G11" s="16" t="n"/>
      <c r="H11" s="17" t="inlineStr">
        <is>
          <t>Vezi pe site</t>
        </is>
      </c>
      <c r="I11" s="17" t="inlineStr">
        <is>
          <t>Deschide oferta</t>
        </is>
      </c>
    </row>
    <row r="12" ht="46" customHeight="1">
      <c r="A12" s="11" t="n">
        <v>5</v>
      </c>
      <c r="B12" s="12" t="n"/>
      <c r="C12" s="13" t="inlineStr">
        <is>
          <t>Tractor LS MT3.60 MT CAB STAGE V</t>
        </is>
      </c>
      <c r="D12" s="14" t="n">
        <v>30000</v>
      </c>
      <c r="E12" s="12" t="n"/>
      <c r="F12" s="15">
        <f>IF(ISNUMBER(E12),ROUND(E12*Curs,0),IF(ISNUMBER(D12),ROUND(D12*Curs,0),"La cerere"))</f>
        <v/>
      </c>
      <c r="G12" s="16" t="n"/>
      <c r="H12" s="17" t="inlineStr">
        <is>
          <t>Vezi pe site</t>
        </is>
      </c>
      <c r="I12" s="17" t="inlineStr">
        <is>
          <t>Deschide oferta</t>
        </is>
      </c>
    </row>
    <row r="13" ht="46" customHeight="1">
      <c r="A13" s="11" t="n">
        <v>6</v>
      </c>
      <c r="B13" s="12" t="n"/>
      <c r="C13" s="13" t="inlineStr">
        <is>
          <t>Tractor LS R36i MT FR NON EU</t>
        </is>
      </c>
      <c r="D13" s="14" t="n">
        <v>16500</v>
      </c>
      <c r="E13" s="12" t="n"/>
      <c r="F13" s="15">
        <f>IF(ISNUMBER(E13),ROUND(E13*Curs,0),IF(ISNUMBER(D13),ROUND(D13*Curs,0),"La cerere"))</f>
        <v/>
      </c>
      <c r="G13" s="16" t="n"/>
      <c r="H13" s="17" t="inlineStr">
        <is>
          <t>Vezi pe site</t>
        </is>
      </c>
      <c r="I13" s="17" t="inlineStr">
        <is>
          <t>Deschide oferta</t>
        </is>
      </c>
    </row>
    <row r="14" ht="46" customHeight="1">
      <c r="A14" s="11" t="n">
        <v>7</v>
      </c>
      <c r="B14" s="12" t="n"/>
      <c r="C14" s="13" t="inlineStr">
        <is>
          <t>Tractor LS R60 MT FR NON EU</t>
        </is>
      </c>
      <c r="D14" s="14" t="n">
        <v>21000</v>
      </c>
      <c r="E14" s="18" t="n">
        <v>19500</v>
      </c>
      <c r="F14" s="15">
        <f>IF(ISNUMBER(E14),ROUND(E14*Curs,0),IF(ISNUMBER(D14),ROUND(D14*Curs,0),"La cerere"))</f>
        <v/>
      </c>
      <c r="G14" s="16" t="n"/>
      <c r="H14" s="17" t="inlineStr">
        <is>
          <t>Vezi pe site</t>
        </is>
      </c>
      <c r="I14" s="17" t="inlineStr">
        <is>
          <t>Deschide oferta</t>
        </is>
      </c>
    </row>
    <row r="15" ht="46" customHeight="1">
      <c r="A15" s="11" t="n">
        <v>8</v>
      </c>
      <c r="B15" s="12" t="n"/>
      <c r="C15" s="13" t="inlineStr">
        <is>
          <t>Tractor LS R65 MT CAB NON EU</t>
        </is>
      </c>
      <c r="D15" s="14" t="n">
        <v>29000</v>
      </c>
      <c r="E15" s="18" t="n">
        <v>27500</v>
      </c>
      <c r="F15" s="15">
        <f>IF(ISNUMBER(E15),ROUND(E15*Curs,0),IF(ISNUMBER(D15),ROUND(D15*Curs,0),"La cerere"))</f>
        <v/>
      </c>
      <c r="G15" s="16" t="n"/>
      <c r="H15" s="17" t="inlineStr">
        <is>
          <t>Vezi pe site</t>
        </is>
      </c>
      <c r="I15" s="17" t="inlineStr">
        <is>
          <t>Deschide oferta</t>
        </is>
      </c>
    </row>
    <row r="16" ht="46" customHeight="1">
      <c r="A16" s="11" t="n">
        <v>9</v>
      </c>
      <c r="B16" s="12" t="n"/>
      <c r="C16" s="13" t="inlineStr">
        <is>
          <t>Tractor LS XR50 MT CAB NON EU</t>
        </is>
      </c>
      <c r="D16" s="14" t="n">
        <v>26000</v>
      </c>
      <c r="E16" s="18" t="n">
        <v>25000</v>
      </c>
      <c r="F16" s="15">
        <f>IF(ISNUMBER(E16),ROUND(E16*Curs,0),IF(ISNUMBER(D16),ROUND(D16*Curs,0),"La cerere"))</f>
        <v/>
      </c>
      <c r="G16" s="16" t="n"/>
      <c r="H16" s="17" t="inlineStr">
        <is>
          <t>Vezi pe site</t>
        </is>
      </c>
      <c r="I16" s="17" t="inlineStr">
        <is>
          <t>Deschide oferta</t>
        </is>
      </c>
    </row>
    <row r="17" ht="46" customHeight="1">
      <c r="A17" s="11" t="n">
        <v>10</v>
      </c>
      <c r="B17" s="12" t="n"/>
      <c r="C17" s="13" t="inlineStr">
        <is>
          <t>Tractor LS U60 MT CAB NON EU</t>
        </is>
      </c>
      <c r="D17" s="14" t="n">
        <v>29500</v>
      </c>
      <c r="E17" s="18" t="n">
        <v>28000</v>
      </c>
      <c r="F17" s="15">
        <f>IF(ISNUMBER(E17),ROUND(E17*Curs,0),IF(ISNUMBER(D17),ROUND(D17*Curs,0),"La cerere"))</f>
        <v/>
      </c>
      <c r="G17" s="16" t="n"/>
      <c r="H17" s="17" t="inlineStr">
        <is>
          <t>Vezi pe site</t>
        </is>
      </c>
      <c r="I17" s="17" t="inlineStr">
        <is>
          <t>Deschide oferta</t>
        </is>
      </c>
    </row>
    <row r="18" ht="46" customHeight="1">
      <c r="A18" s="11" t="n">
        <v>11</v>
      </c>
      <c r="B18" s="12" t="n"/>
      <c r="C18" s="13" t="inlineStr">
        <is>
          <t>Tractor LS XU6168 MT CAB STAGE V</t>
        </is>
      </c>
      <c r="D18" s="14" t="n">
        <v>33000</v>
      </c>
      <c r="E18" s="12" t="n"/>
      <c r="F18" s="15">
        <f>IF(ISNUMBER(E18),ROUND(E18*Curs,0),IF(ISNUMBER(D18),ROUND(D18*Curs,0),"La cerere"))</f>
        <v/>
      </c>
      <c r="G18" s="16" t="n"/>
      <c r="H18" s="17" t="inlineStr">
        <is>
          <t>Vezi pe site</t>
        </is>
      </c>
      <c r="I18" s="17" t="inlineStr">
        <is>
          <t>Deschide oferta</t>
        </is>
      </c>
    </row>
    <row r="19" ht="46" customHeight="1">
      <c r="A19" s="11" t="n">
        <v>12</v>
      </c>
      <c r="B19" s="12" t="n"/>
      <c r="C19" s="13" t="inlineStr">
        <is>
          <t>Tractor LS MT5.73 PS CAB STAGE V</t>
        </is>
      </c>
      <c r="D19" s="14" t="n">
        <v>41000</v>
      </c>
      <c r="E19" s="12" t="n"/>
      <c r="F19" s="15">
        <f>IF(ISNUMBER(E19),ROUND(E19*Curs,0),IF(ISNUMBER(D19),ROUND(D19*Curs,0),"La cerere"))</f>
        <v/>
      </c>
      <c r="G19" s="16" t="n"/>
      <c r="H19" s="17" t="inlineStr">
        <is>
          <t>Vezi pe site</t>
        </is>
      </c>
      <c r="I19" s="17" t="inlineStr">
        <is>
          <t>Deschide oferta</t>
        </is>
      </c>
    </row>
    <row r="20" ht="46" customHeight="1">
      <c r="A20" s="11" t="n">
        <v>13</v>
      </c>
      <c r="B20" s="12" t="n"/>
      <c r="C20" s="13" t="inlineStr">
        <is>
          <t>Tractor LS PLUS100 PS CAB NON EU</t>
        </is>
      </c>
      <c r="D20" s="14" t="n">
        <v>43000</v>
      </c>
      <c r="E20" s="18" t="n">
        <v>41000</v>
      </c>
      <c r="F20" s="15">
        <f>IF(ISNUMBER(E20),ROUND(E20*Curs,0),IF(ISNUMBER(D20),ROUND(D20*Curs,0),"La cerere"))</f>
        <v/>
      </c>
      <c r="G20" s="16" t="n"/>
      <c r="H20" s="17" t="inlineStr">
        <is>
          <t>Vezi pe site</t>
        </is>
      </c>
      <c r="I20" s="17" t="inlineStr">
        <is>
          <t>Deschide oferta</t>
        </is>
      </c>
    </row>
    <row r="21" ht="46" customHeight="1">
      <c r="A21" s="11" t="n">
        <v>14</v>
      </c>
      <c r="B21" s="12" t="n"/>
      <c r="C21" s="13" t="inlineStr">
        <is>
          <t>Tractor LS MT7.101 PS CAB STAGE V</t>
        </is>
      </c>
      <c r="D21" s="14" t="n">
        <v>53000</v>
      </c>
      <c r="E21" s="12" t="n"/>
      <c r="F21" s="15">
        <f>IF(ISNUMBER(E21),ROUND(E21*Curs,0),IF(ISNUMBER(D21),ROUND(D21*Curs,0),"La cerere"))</f>
        <v/>
      </c>
      <c r="G21" s="16" t="n"/>
      <c r="H21" s="17" t="inlineStr">
        <is>
          <t>Vezi pe site</t>
        </is>
      </c>
      <c r="I21" s="17" t="inlineStr">
        <is>
          <t>Deschide oferta</t>
        </is>
      </c>
    </row>
    <row r="22" ht="30" customHeight="1">
      <c r="A22" s="10" t="inlineStr">
        <is>
          <t>TRACTOARE FARMTRAC  ·  8 modele</t>
        </is>
      </c>
    </row>
    <row r="23" ht="46" customHeight="1">
      <c r="A23" s="11" t="n">
        <v>15</v>
      </c>
      <c r="B23" s="12" t="n"/>
      <c r="C23" s="13" t="inlineStr">
        <is>
          <t>Set tractor Farmtrac 26 + freză Shaktiman</t>
        </is>
      </c>
      <c r="D23" s="14" t="n">
        <v>9900</v>
      </c>
      <c r="E23" s="18" t="n">
        <v>9000</v>
      </c>
      <c r="F23" s="15">
        <f>IF(ISNUMBER(E23),ROUND(E23*Curs,0),IF(ISNUMBER(D23),ROUND(D23*Curs,0),"La cerere"))</f>
        <v/>
      </c>
      <c r="G23" s="16" t="inlineStr">
        <is>
          <t>Ofertă de iarnă</t>
        </is>
      </c>
      <c r="H23" s="17" t="inlineStr">
        <is>
          <t>Vezi pe site</t>
        </is>
      </c>
      <c r="I23" s="17" t="inlineStr">
        <is>
          <t>Deschide oferta</t>
        </is>
      </c>
    </row>
    <row r="24" ht="46" customHeight="1">
      <c r="A24" s="11" t="n">
        <v>16</v>
      </c>
      <c r="B24" s="12" t="n"/>
      <c r="C24" s="13" t="inlineStr">
        <is>
          <t>Tractor Farmtrac 26 4WD</t>
        </is>
      </c>
      <c r="D24" s="14" t="n">
        <v>8500</v>
      </c>
      <c r="E24" s="18" t="n">
        <v>8000</v>
      </c>
      <c r="F24" s="15">
        <f>IF(ISNUMBER(E24),ROUND(E24*Curs,0),IF(ISNUMBER(D24),ROUND(D24*Curs,0),"La cerere"))</f>
        <v/>
      </c>
      <c r="G24" s="16" t="n"/>
      <c r="H24" s="17" t="inlineStr">
        <is>
          <t>Vezi pe site</t>
        </is>
      </c>
      <c r="I24" s="17" t="inlineStr">
        <is>
          <t>Deschide oferta</t>
        </is>
      </c>
    </row>
    <row r="25" ht="46" customHeight="1">
      <c r="A25" s="11" t="n">
        <v>17</v>
      </c>
      <c r="B25" s="12" t="n"/>
      <c r="C25" s="13" t="inlineStr">
        <is>
          <t>Tractor Farmtrac 26 Pro 4WD</t>
        </is>
      </c>
      <c r="D25" s="14" t="n">
        <v>8500</v>
      </c>
      <c r="E25" s="12" t="n"/>
      <c r="F25" s="15">
        <f>IF(ISNUMBER(E25),ROUND(E25*Curs,0),IF(ISNUMBER(D25),ROUND(D25*Curs,0),"La cerere"))</f>
        <v/>
      </c>
      <c r="G25" s="16" t="inlineStr">
        <is>
          <t>Model nou, Stage 5, 9x9</t>
        </is>
      </c>
      <c r="H25" s="17" t="inlineStr">
        <is>
          <t>Vezi pe site</t>
        </is>
      </c>
      <c r="I25" s="17" t="inlineStr">
        <is>
          <t>Deschide oferta</t>
        </is>
      </c>
    </row>
    <row r="26" ht="46" customHeight="1">
      <c r="A26" s="11" t="n">
        <v>18</v>
      </c>
      <c r="B26" s="12" t="n"/>
      <c r="C26" s="13" t="inlineStr">
        <is>
          <t>Tractor Farmtrac 30 4WD</t>
        </is>
      </c>
      <c r="D26" s="14" t="n">
        <v>9000</v>
      </c>
      <c r="E26" s="12" t="n"/>
      <c r="F26" s="15">
        <f>IF(ISNUMBER(E26),ROUND(E26*Curs,0),IF(ISNUMBER(D26),ROUND(D26*Curs,0),"La cerere"))</f>
        <v/>
      </c>
      <c r="G26" s="16" t="n"/>
      <c r="H26" s="17" t="inlineStr">
        <is>
          <t>Vezi pe site</t>
        </is>
      </c>
      <c r="I26" s="17" t="inlineStr">
        <is>
          <t>Deschide oferta</t>
        </is>
      </c>
    </row>
    <row r="27" ht="46" customHeight="1">
      <c r="A27" s="11" t="n">
        <v>19</v>
      </c>
      <c r="B27" s="12" t="n"/>
      <c r="C27" s="13" t="inlineStr">
        <is>
          <t>Tractor Farmtrac 35 4WD</t>
        </is>
      </c>
      <c r="D27" s="14" t="n">
        <v>9500</v>
      </c>
      <c r="E27" s="12" t="n"/>
      <c r="F27" s="15">
        <f>IF(ISNUMBER(E27),ROUND(E27*Curs,0),IF(ISNUMBER(D27),ROUND(D27*Curs,0),"La cerere"))</f>
        <v/>
      </c>
      <c r="G27" s="16" t="n"/>
      <c r="H27" s="17" t="inlineStr">
        <is>
          <t>Vezi pe site</t>
        </is>
      </c>
      <c r="I27" s="17" t="inlineStr">
        <is>
          <t>Deschide oferta</t>
        </is>
      </c>
    </row>
    <row r="28" ht="46" customHeight="1">
      <c r="A28" s="11" t="n">
        <v>20</v>
      </c>
      <c r="B28" s="12" t="n"/>
      <c r="C28" s="13" t="inlineStr">
        <is>
          <t>Tractor Farmtrac 35 4WD Revers</t>
        </is>
      </c>
      <c r="D28" s="14" t="n">
        <v>9800</v>
      </c>
      <c r="E28" s="12" t="n"/>
      <c r="F28" s="15">
        <f>IF(ISNUMBER(E28),ROUND(E28*Curs,0),IF(ISNUMBER(D28),ROUND(D28*Curs,0),"La cerere"))</f>
        <v/>
      </c>
      <c r="G28" s="16" t="n"/>
      <c r="H28" s="17" t="inlineStr">
        <is>
          <t>Vezi pe site</t>
        </is>
      </c>
      <c r="I28" s="17" t="inlineStr">
        <is>
          <t>Deschide oferta</t>
        </is>
      </c>
    </row>
    <row r="29" ht="46" customHeight="1">
      <c r="A29" s="11" t="n">
        <v>21</v>
      </c>
      <c r="B29" s="12" t="n"/>
      <c r="C29" s="13" t="inlineStr">
        <is>
          <t>Tractor Farmtrac 6075N 4WD</t>
        </is>
      </c>
      <c r="D29" s="14" t="n">
        <v>19500</v>
      </c>
      <c r="E29" s="18" t="n">
        <v>16999</v>
      </c>
      <c r="F29" s="15">
        <f>IF(ISNUMBER(E29),ROUND(E29*Curs,0),IF(ISNUMBER(D29),ROUND(D29*Curs,0),"La cerere"))</f>
        <v/>
      </c>
      <c r="G29" s="16" t="n"/>
      <c r="H29" s="17" t="inlineStr">
        <is>
          <t>Vezi pe site</t>
        </is>
      </c>
      <c r="I29" s="17" t="inlineStr">
        <is>
          <t>Deschide oferta</t>
        </is>
      </c>
    </row>
    <row r="30" ht="46" customHeight="1">
      <c r="A30" s="11" t="n">
        <v>22</v>
      </c>
      <c r="B30" s="12" t="n"/>
      <c r="C30" s="13" t="inlineStr">
        <is>
          <t>Tractor Farmtrac 6075N 4WD Cabină</t>
        </is>
      </c>
      <c r="D30" s="14" t="n">
        <v>24500</v>
      </c>
      <c r="E30" s="18" t="n">
        <v>23000</v>
      </c>
      <c r="F30" s="15">
        <f>IF(ISNUMBER(E30),ROUND(E30*Curs,0),IF(ISNUMBER(D30),ROUND(D30*Curs,0),"La cerere"))</f>
        <v/>
      </c>
      <c r="G30" s="16" t="n"/>
      <c r="H30" s="17" t="inlineStr">
        <is>
          <t>Vezi pe site</t>
        </is>
      </c>
      <c r="I30" s="17" t="inlineStr">
        <is>
          <t>Deschide oferta</t>
        </is>
      </c>
    </row>
    <row r="31" ht="30" customHeight="1">
      <c r="A31" s="10" t="inlineStr">
        <is>
          <t>TRACTOARE ANTONIO CARRARO  ·  3 modele</t>
        </is>
      </c>
    </row>
    <row r="32" ht="46" customHeight="1">
      <c r="A32" s="11" t="n">
        <v>23</v>
      </c>
      <c r="B32" s="12" t="n"/>
      <c r="C32" s="13" t="inlineStr">
        <is>
          <t>Tractor Antonio Carraro AV2100L</t>
        </is>
      </c>
      <c r="D32" s="14" t="n">
        <v>48000</v>
      </c>
      <c r="E32" s="12" t="n"/>
      <c r="F32" s="15">
        <f>IF(ISNUMBER(E32),ROUND(E32*Curs,0),IF(ISNUMBER(D32),ROUND(D32*Curs,0),"La cerere"))</f>
        <v/>
      </c>
      <c r="G32" s="16" t="n"/>
      <c r="H32" s="19" t="inlineStr">
        <is>
          <t>—</t>
        </is>
      </c>
      <c r="I32" s="17" t="inlineStr">
        <is>
          <t>Deschide oferta</t>
        </is>
      </c>
    </row>
    <row r="33" ht="46" customHeight="1">
      <c r="A33" s="11" t="n">
        <v>24</v>
      </c>
      <c r="B33" s="12" t="n"/>
      <c r="C33" s="13" t="inlineStr">
        <is>
          <t>Tractor Antonio Carraro TGF 9900</t>
        </is>
      </c>
      <c r="D33" s="14" t="n">
        <v>45000</v>
      </c>
      <c r="E33" s="12" t="n"/>
      <c r="F33" s="15">
        <f>IF(ISNUMBER(E33),ROUND(E33*Curs,0),IF(ISNUMBER(D33),ROUND(D33*Curs,0),"La cerere"))</f>
        <v/>
      </c>
      <c r="G33" s="16" t="n"/>
      <c r="H33" s="19" t="inlineStr">
        <is>
          <t>—</t>
        </is>
      </c>
      <c r="I33" s="17" t="inlineStr">
        <is>
          <t>Deschide oferta</t>
        </is>
      </c>
    </row>
    <row r="34" ht="46" customHeight="1">
      <c r="A34" s="11" t="n">
        <v>25</v>
      </c>
      <c r="B34" s="12" t="n"/>
      <c r="C34" s="13" t="inlineStr">
        <is>
          <t>Tractor Antonio Carraro TRG 9900</t>
        </is>
      </c>
      <c r="D34" s="14" t="n">
        <v>48000</v>
      </c>
      <c r="E34" s="12" t="n"/>
      <c r="F34" s="15">
        <f>IF(ISNUMBER(E34),ROUND(E34*Curs,0),IF(ISNUMBER(D34),ROUND(D34*Curs,0),"La cerere"))</f>
        <v/>
      </c>
      <c r="G34" s="16" t="inlineStr">
        <is>
          <t>Reversibil</t>
        </is>
      </c>
      <c r="H34" s="17" t="inlineStr">
        <is>
          <t>Vezi pe site</t>
        </is>
      </c>
      <c r="I34" s="17" t="inlineStr">
        <is>
          <t>Deschide oferta</t>
        </is>
      </c>
    </row>
    <row r="35" ht="30" customHeight="1">
      <c r="A35" s="10" t="inlineStr">
        <is>
          <t>TRACTOARE SOLIS  ·  8 modele</t>
        </is>
      </c>
    </row>
    <row r="36" ht="46" customHeight="1">
      <c r="A36" s="11" t="n">
        <v>26</v>
      </c>
      <c r="B36" s="12" t="n"/>
      <c r="C36" s="13" t="inlineStr">
        <is>
          <t>Tractor Solis S16</t>
        </is>
      </c>
      <c r="D36" s="14" t="n">
        <v>6000</v>
      </c>
      <c r="E36" s="12" t="n"/>
      <c r="F36" s="15">
        <f>IF(ISNUMBER(E36),ROUND(E36*Curs,0),IF(ISNUMBER(D36),ROUND(D36*Curs,0),"La cerere"))</f>
        <v/>
      </c>
      <c r="G36" s="16" t="n"/>
      <c r="H36" s="17" t="inlineStr">
        <is>
          <t>Vezi pe site</t>
        </is>
      </c>
      <c r="I36" s="17" t="inlineStr">
        <is>
          <t>Deschide oferta</t>
        </is>
      </c>
    </row>
    <row r="37" ht="46" customHeight="1">
      <c r="A37" s="11" t="n">
        <v>27</v>
      </c>
      <c r="B37" s="12" t="n"/>
      <c r="C37" s="13" t="inlineStr">
        <is>
          <t>Tractor Solis S26</t>
        </is>
      </c>
      <c r="D37" s="14" t="n">
        <v>8000</v>
      </c>
      <c r="E37" s="12" t="n"/>
      <c r="F37" s="15">
        <f>IF(ISNUMBER(E37),ROUND(E37*Curs,0),IF(ISNUMBER(D37),ROUND(D37*Curs,0),"La cerere"))</f>
        <v/>
      </c>
      <c r="G37" s="16" t="n"/>
      <c r="H37" s="17" t="inlineStr">
        <is>
          <t>Vezi pe site</t>
        </is>
      </c>
      <c r="I37" s="17" t="inlineStr">
        <is>
          <t>Deschide oferta</t>
        </is>
      </c>
    </row>
    <row r="38" ht="46" customHeight="1">
      <c r="A38" s="11" t="n">
        <v>28</v>
      </c>
      <c r="B38" s="12" t="n"/>
      <c r="C38" s="13" t="inlineStr">
        <is>
          <t>Tractor Solis S26 Xtra</t>
        </is>
      </c>
      <c r="D38" s="14" t="n">
        <v>8300</v>
      </c>
      <c r="E38" s="12" t="n"/>
      <c r="F38" s="15">
        <f>IF(ISNUMBER(E38),ROUND(E38*Curs,0),IF(ISNUMBER(D38),ROUND(D38*Curs,0),"La cerere"))</f>
        <v/>
      </c>
      <c r="G38" s="16" t="n"/>
      <c r="H38" s="17" t="inlineStr">
        <is>
          <t>Vezi pe site</t>
        </is>
      </c>
      <c r="I38" s="17" t="inlineStr">
        <is>
          <t>Deschide oferta</t>
        </is>
      </c>
    </row>
    <row r="39" ht="46" customHeight="1">
      <c r="A39" s="11" t="n">
        <v>29</v>
      </c>
      <c r="B39" s="12" t="n"/>
      <c r="C39" s="13" t="inlineStr">
        <is>
          <t>Tractor Solis S26 Shuttle XL</t>
        </is>
      </c>
      <c r="D39" s="14" t="n">
        <v>8500</v>
      </c>
      <c r="E39" s="12" t="n"/>
      <c r="F39" s="15">
        <f>IF(ISNUMBER(E39),ROUND(E39*Curs,0),IF(ISNUMBER(D39),ROUND(D39*Curs,0),"La cerere"))</f>
        <v/>
      </c>
      <c r="G39" s="16" t="n"/>
      <c r="H39" s="17" t="inlineStr">
        <is>
          <t>Vezi pe site</t>
        </is>
      </c>
      <c r="I39" s="17" t="inlineStr">
        <is>
          <t>Deschide oferta</t>
        </is>
      </c>
    </row>
    <row r="40" ht="46" customHeight="1">
      <c r="A40" s="11" t="n">
        <v>30</v>
      </c>
      <c r="B40" s="12" t="n"/>
      <c r="C40" s="13" t="inlineStr">
        <is>
          <t>Tractor Solis S30</t>
        </is>
      </c>
      <c r="D40" s="14" t="n">
        <v>8700</v>
      </c>
      <c r="E40" s="12" t="n"/>
      <c r="F40" s="15">
        <f>IF(ISNUMBER(E40),ROUND(E40*Curs,0),IF(ISNUMBER(D40),ROUND(D40*Curs,0),"La cerere"))</f>
        <v/>
      </c>
      <c r="G40" s="16" t="n"/>
      <c r="H40" s="17" t="inlineStr">
        <is>
          <t>Vezi pe site</t>
        </is>
      </c>
      <c r="I40" s="17" t="inlineStr">
        <is>
          <t>Deschide oferta</t>
        </is>
      </c>
    </row>
    <row r="41" ht="46" customHeight="1">
      <c r="A41" s="11" t="n">
        <v>31</v>
      </c>
      <c r="B41" s="12" t="n"/>
      <c r="C41" s="13" t="inlineStr">
        <is>
          <t>Tractor Solis S32</t>
        </is>
      </c>
      <c r="D41" s="14" t="n">
        <v>9100</v>
      </c>
      <c r="E41" s="12" t="n"/>
      <c r="F41" s="15">
        <f>IF(ISNUMBER(E41),ROUND(E41*Curs,0),IF(ISNUMBER(D41),ROUND(D41*Curs,0),"La cerere"))</f>
        <v/>
      </c>
      <c r="G41" s="16" t="n"/>
      <c r="H41" s="17" t="inlineStr">
        <is>
          <t>Vezi pe site</t>
        </is>
      </c>
      <c r="I41" s="17" t="inlineStr">
        <is>
          <t>Deschide oferta</t>
        </is>
      </c>
    </row>
    <row r="42" ht="46" customHeight="1">
      <c r="A42" s="11" t="n">
        <v>32</v>
      </c>
      <c r="B42" s="12" t="n"/>
      <c r="C42" s="13" t="inlineStr">
        <is>
          <t>Tractor Solis 90N</t>
        </is>
      </c>
      <c r="D42" s="14" t="n">
        <v>29500</v>
      </c>
      <c r="E42" s="12" t="n"/>
      <c r="F42" s="15">
        <f>IF(ISNUMBER(E42),ROUND(E42*Curs,0),IF(ISNUMBER(D42),ROUND(D42*Curs,0),"La cerere"))</f>
        <v/>
      </c>
      <c r="G42" s="16" t="n"/>
      <c r="H42" s="17" t="inlineStr">
        <is>
          <t>Vezi pe site</t>
        </is>
      </c>
      <c r="I42" s="17" t="inlineStr">
        <is>
          <t>Deschide oferta</t>
        </is>
      </c>
    </row>
    <row r="43" ht="46" customHeight="1">
      <c r="A43" s="11" t="n">
        <v>33</v>
      </c>
      <c r="B43" s="12" t="n"/>
      <c r="C43" s="13" t="inlineStr">
        <is>
          <t>Tractor Solis 90RX</t>
        </is>
      </c>
      <c r="D43" s="14" t="n">
        <v>27500</v>
      </c>
      <c r="E43" s="12" t="n"/>
      <c r="F43" s="15">
        <f>IF(ISNUMBER(E43),ROUND(E43*Curs,0),IF(ISNUMBER(D43),ROUND(D43*Curs,0),"La cerere"))</f>
        <v/>
      </c>
      <c r="G43" s="16" t="n"/>
      <c r="H43" s="17" t="inlineStr">
        <is>
          <t>Vezi pe site</t>
        </is>
      </c>
      <c r="I43" s="17" t="inlineStr">
        <is>
          <t>Deschide oferta</t>
        </is>
      </c>
    </row>
    <row r="45">
      <c r="C45" s="20" t="inlineStr">
        <is>
          <t>* Preț MDL = prețul final (promo, dacă există) × cursul EUR/MDL din celula F3. Este orientativ.</t>
        </is>
      </c>
    </row>
    <row r="46">
      <c r="C46" s="20" t="inlineStr">
        <is>
          <t>Cursul se poate schimba direct în F3. În Google Sheets se poate lega automat: =GOOGLEFINANCE("CURRENCY:EURMDL")</t>
        </is>
      </c>
    </row>
    <row r="47">
      <c r="C47" s="20" t="inlineStr">
        <is>
          <t>Pentru o ofertă cu unul sau mai multe produse folosiți foaia „Ofertă comercială”.</t>
        </is>
      </c>
    </row>
  </sheetData>
  <mergeCells count="4">
    <mergeCell ref="A7:I7"/>
    <mergeCell ref="A35:I35"/>
    <mergeCell ref="A31:I31"/>
    <mergeCell ref="A22:I22"/>
  </mergeCells>
  <hyperlinks>
    <hyperlink xmlns:r="http://schemas.openxmlformats.org/officeDocument/2006/relationships" ref="H8" r:id="rId1"/>
    <hyperlink xmlns:r="http://schemas.openxmlformats.org/officeDocument/2006/relationships" ref="I8" r:id="rId2"/>
    <hyperlink xmlns:r="http://schemas.openxmlformats.org/officeDocument/2006/relationships" ref="H9" r:id="rId3"/>
    <hyperlink xmlns:r="http://schemas.openxmlformats.org/officeDocument/2006/relationships" ref="I9" r:id="rId4"/>
    <hyperlink xmlns:r="http://schemas.openxmlformats.org/officeDocument/2006/relationships" ref="H10" r:id="rId5"/>
    <hyperlink xmlns:r="http://schemas.openxmlformats.org/officeDocument/2006/relationships" ref="I10" r:id="rId6"/>
    <hyperlink xmlns:r="http://schemas.openxmlformats.org/officeDocument/2006/relationships" ref="H11" r:id="rId7"/>
    <hyperlink xmlns:r="http://schemas.openxmlformats.org/officeDocument/2006/relationships" ref="I11" r:id="rId8"/>
    <hyperlink xmlns:r="http://schemas.openxmlformats.org/officeDocument/2006/relationships" ref="H12" r:id="rId9"/>
    <hyperlink xmlns:r="http://schemas.openxmlformats.org/officeDocument/2006/relationships" ref="I12" r:id="rId10"/>
    <hyperlink xmlns:r="http://schemas.openxmlformats.org/officeDocument/2006/relationships" ref="H13" r:id="rId11"/>
    <hyperlink xmlns:r="http://schemas.openxmlformats.org/officeDocument/2006/relationships" ref="I13" r:id="rId12"/>
    <hyperlink xmlns:r="http://schemas.openxmlformats.org/officeDocument/2006/relationships" ref="H14" r:id="rId13"/>
    <hyperlink xmlns:r="http://schemas.openxmlformats.org/officeDocument/2006/relationships" ref="I14" r:id="rId14"/>
    <hyperlink xmlns:r="http://schemas.openxmlformats.org/officeDocument/2006/relationships" ref="H15" r:id="rId15"/>
    <hyperlink xmlns:r="http://schemas.openxmlformats.org/officeDocument/2006/relationships" ref="I15" r:id="rId16"/>
    <hyperlink xmlns:r="http://schemas.openxmlformats.org/officeDocument/2006/relationships" ref="H16" r:id="rId17"/>
    <hyperlink xmlns:r="http://schemas.openxmlformats.org/officeDocument/2006/relationships" ref="I16" r:id="rId18"/>
    <hyperlink xmlns:r="http://schemas.openxmlformats.org/officeDocument/2006/relationships" ref="H17" r:id="rId19"/>
    <hyperlink xmlns:r="http://schemas.openxmlformats.org/officeDocument/2006/relationships" ref="I17" r:id="rId20"/>
    <hyperlink xmlns:r="http://schemas.openxmlformats.org/officeDocument/2006/relationships" ref="H18" r:id="rId21"/>
    <hyperlink xmlns:r="http://schemas.openxmlformats.org/officeDocument/2006/relationships" ref="I18" r:id="rId22"/>
    <hyperlink xmlns:r="http://schemas.openxmlformats.org/officeDocument/2006/relationships" ref="H19" r:id="rId23"/>
    <hyperlink xmlns:r="http://schemas.openxmlformats.org/officeDocument/2006/relationships" ref="I19" r:id="rId24"/>
    <hyperlink xmlns:r="http://schemas.openxmlformats.org/officeDocument/2006/relationships" ref="H20" r:id="rId25"/>
    <hyperlink xmlns:r="http://schemas.openxmlformats.org/officeDocument/2006/relationships" ref="I20" r:id="rId26"/>
    <hyperlink xmlns:r="http://schemas.openxmlformats.org/officeDocument/2006/relationships" ref="H21" r:id="rId27"/>
    <hyperlink xmlns:r="http://schemas.openxmlformats.org/officeDocument/2006/relationships" ref="I21" r:id="rId28"/>
    <hyperlink xmlns:r="http://schemas.openxmlformats.org/officeDocument/2006/relationships" ref="H23" r:id="rId29"/>
    <hyperlink xmlns:r="http://schemas.openxmlformats.org/officeDocument/2006/relationships" ref="I23" r:id="rId30"/>
    <hyperlink xmlns:r="http://schemas.openxmlformats.org/officeDocument/2006/relationships" ref="H24" r:id="rId31"/>
    <hyperlink xmlns:r="http://schemas.openxmlformats.org/officeDocument/2006/relationships" ref="I24" r:id="rId32"/>
    <hyperlink xmlns:r="http://schemas.openxmlformats.org/officeDocument/2006/relationships" ref="H25" r:id="rId33"/>
    <hyperlink xmlns:r="http://schemas.openxmlformats.org/officeDocument/2006/relationships" ref="I25" r:id="rId34"/>
    <hyperlink xmlns:r="http://schemas.openxmlformats.org/officeDocument/2006/relationships" ref="H26" r:id="rId35"/>
    <hyperlink xmlns:r="http://schemas.openxmlformats.org/officeDocument/2006/relationships" ref="I26" r:id="rId36"/>
    <hyperlink xmlns:r="http://schemas.openxmlformats.org/officeDocument/2006/relationships" ref="H27" r:id="rId37"/>
    <hyperlink xmlns:r="http://schemas.openxmlformats.org/officeDocument/2006/relationships" ref="I27" r:id="rId38"/>
    <hyperlink xmlns:r="http://schemas.openxmlformats.org/officeDocument/2006/relationships" ref="H28" r:id="rId39"/>
    <hyperlink xmlns:r="http://schemas.openxmlformats.org/officeDocument/2006/relationships" ref="I28" r:id="rId40"/>
    <hyperlink xmlns:r="http://schemas.openxmlformats.org/officeDocument/2006/relationships" ref="H29" r:id="rId41"/>
    <hyperlink xmlns:r="http://schemas.openxmlformats.org/officeDocument/2006/relationships" ref="I29" r:id="rId42"/>
    <hyperlink xmlns:r="http://schemas.openxmlformats.org/officeDocument/2006/relationships" ref="H30" r:id="rId43"/>
    <hyperlink xmlns:r="http://schemas.openxmlformats.org/officeDocument/2006/relationships" ref="I30" r:id="rId44"/>
    <hyperlink xmlns:r="http://schemas.openxmlformats.org/officeDocument/2006/relationships" ref="I32" r:id="rId45"/>
    <hyperlink xmlns:r="http://schemas.openxmlformats.org/officeDocument/2006/relationships" ref="I33" r:id="rId46"/>
    <hyperlink xmlns:r="http://schemas.openxmlformats.org/officeDocument/2006/relationships" ref="H34" r:id="rId47"/>
    <hyperlink xmlns:r="http://schemas.openxmlformats.org/officeDocument/2006/relationships" ref="I34" r:id="rId48"/>
    <hyperlink xmlns:r="http://schemas.openxmlformats.org/officeDocument/2006/relationships" ref="H36" r:id="rId49"/>
    <hyperlink xmlns:r="http://schemas.openxmlformats.org/officeDocument/2006/relationships" ref="I36" r:id="rId50"/>
    <hyperlink xmlns:r="http://schemas.openxmlformats.org/officeDocument/2006/relationships" ref="H37" r:id="rId51"/>
    <hyperlink xmlns:r="http://schemas.openxmlformats.org/officeDocument/2006/relationships" ref="I37" r:id="rId52"/>
    <hyperlink xmlns:r="http://schemas.openxmlformats.org/officeDocument/2006/relationships" ref="H38" r:id="rId53"/>
    <hyperlink xmlns:r="http://schemas.openxmlformats.org/officeDocument/2006/relationships" ref="I38" r:id="rId54"/>
    <hyperlink xmlns:r="http://schemas.openxmlformats.org/officeDocument/2006/relationships" ref="H39" r:id="rId55"/>
    <hyperlink xmlns:r="http://schemas.openxmlformats.org/officeDocument/2006/relationships" ref="I39" r:id="rId56"/>
    <hyperlink xmlns:r="http://schemas.openxmlformats.org/officeDocument/2006/relationships" ref="H40" r:id="rId57"/>
    <hyperlink xmlns:r="http://schemas.openxmlformats.org/officeDocument/2006/relationships" ref="I40" r:id="rId58"/>
    <hyperlink xmlns:r="http://schemas.openxmlformats.org/officeDocument/2006/relationships" ref="H41" r:id="rId59"/>
    <hyperlink xmlns:r="http://schemas.openxmlformats.org/officeDocument/2006/relationships" ref="I41" r:id="rId60"/>
    <hyperlink xmlns:r="http://schemas.openxmlformats.org/officeDocument/2006/relationships" ref="H42" r:id="rId61"/>
    <hyperlink xmlns:r="http://schemas.openxmlformats.org/officeDocument/2006/relationships" ref="I42" r:id="rId62"/>
    <hyperlink xmlns:r="http://schemas.openxmlformats.org/officeDocument/2006/relationships" ref="H43" r:id="rId63"/>
    <hyperlink xmlns:r="http://schemas.openxmlformats.org/officeDocument/2006/relationships" ref="I43" r:id="rId64"/>
  </hyperlinks>
  <printOptions horizontalCentered="1"/>
  <pageMargins left="0.4" right="0.4" top="0.5" bottom="0.5" header="0.5" footer="0.5"/>
  <pageSetup orientation="landscape" paperSize="9" fitToHeight="0" fitToWidth="1"/>
  <headerFooter>
    <oddHeader/>
    <oddFooter>&amp;C&amp;8 Pagina &amp;P din &amp;N</oddFooter>
    <evenHeader/>
    <evenFooter/>
    <firstHeader/>
    <firstFooter/>
  </headerFooter>
  <drawing xmlns:r="http://schemas.openxmlformats.org/officeDocument/2006/relationships" r:id="rId6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4" customWidth="1" min="3" max="3"/>
    <col width="8" customWidth="1" min="4" max="4"/>
    <col width="14" customWidth="1" min="5" max="5"/>
    <col width="11" customWidth="1" min="6" max="6"/>
    <col width="15" customWidth="1" min="7" max="7"/>
    <col width="16" customWidth="1" min="8" max="8"/>
    <col width="3" customWidth="1" min="9" max="9"/>
    <col width="60" customWidth="1" min="10" max="10"/>
  </cols>
  <sheetData>
    <row r="1" ht="22" customHeight="1">
      <c r="D1" s="21" t="inlineStr">
        <is>
          <t>„Ozonteh Impex” SRL</t>
        </is>
      </c>
    </row>
    <row r="2" ht="15" customHeight="1">
      <c r="D2" s="22" t="inlineStr">
        <is>
          <t>MD-3701, mun. Strășeni, șos. Chișinău 69, Republica Moldova</t>
        </is>
      </c>
    </row>
    <row r="3" ht="15" customHeight="1">
      <c r="D3" s="22" t="inlineStr">
        <is>
          <t>C.F. 1013600012644 · Cod TVA 8600854</t>
        </is>
      </c>
    </row>
    <row r="4" ht="15" customHeight="1">
      <c r="D4" s="22" t="inlineStr">
        <is>
          <t>office@ozonteh.md · ozonteh.net</t>
        </is>
      </c>
    </row>
    <row r="5" ht="8" customHeight="1">
      <c r="A5" s="23" t="n"/>
      <c r="B5" s="23" t="n"/>
      <c r="C5" s="23" t="n"/>
      <c r="D5" s="23" t="n"/>
      <c r="E5" s="23" t="n"/>
      <c r="F5" s="23" t="n"/>
      <c r="G5" s="23" t="n"/>
      <c r="H5" s="23" t="n"/>
    </row>
    <row r="7" ht="32" customHeight="1">
      <c r="A7" s="24" t="inlineStr">
        <is>
          <t>OFERTĂ COMERCIALĂ</t>
        </is>
      </c>
    </row>
    <row r="8" ht="20" customHeight="1">
      <c r="B8" s="4" t="inlineStr">
        <is>
          <t>Nr. ofertei:</t>
        </is>
      </c>
      <c r="C8" s="25" t="n"/>
      <c r="D8" s="26" t="n"/>
      <c r="E8" s="4" t="inlineStr">
        <is>
          <t>Data:</t>
        </is>
      </c>
      <c r="F8" s="27" t="n"/>
      <c r="G8" s="4" t="inlineStr">
        <is>
          <t>Valabilă (zile):</t>
        </is>
      </c>
      <c r="H8" s="28" t="n">
        <v>14</v>
      </c>
      <c r="J8" s="29" t="inlineStr">
        <is>
          <t>CUM SE FOLOSEȘTE (coloana aceasta nu se tipărește)</t>
        </is>
      </c>
    </row>
    <row r="9" ht="20" customHeight="1">
      <c r="B9" s="4" t="inlineStr">
        <is>
          <t>Curs EUR/MDL:</t>
        </is>
      </c>
      <c r="C9" s="30">
        <f>Curs</f>
        <v/>
      </c>
      <c r="D9" s="26" t="n"/>
      <c r="E9" s="4" t="inlineStr">
        <is>
          <t>Cota TVA:</t>
        </is>
      </c>
      <c r="F9" s="31" t="n">
        <v>0.2</v>
      </c>
      <c r="G9" s="4" t="inlineStr">
        <is>
          <t>Valabilă până la:</t>
        </is>
      </c>
      <c r="H9" s="32">
        <f>IF(ISNUMBER(F8),F8+H8,"")</f>
        <v/>
      </c>
      <c r="J9" s="7" t="inlineStr">
        <is>
          <t>1. Completați câmpurile galbene; după completare devin albe.</t>
        </is>
      </c>
    </row>
    <row r="10">
      <c r="J10" s="7" t="inlineStr">
        <is>
          <t>2. În coloana „Produs” apăsați săgeata și alegeți produsul.</t>
        </is>
      </c>
    </row>
    <row r="11" ht="22" customHeight="1">
      <c r="A11" s="33" t="inlineStr">
        <is>
          <t>DATE CLIENT</t>
        </is>
      </c>
      <c r="J11" s="7" t="inlineStr">
        <is>
          <t xml:space="preserve">   Prețul și linkul la produs se completează singure din „Lista de prețuri”.</t>
        </is>
      </c>
    </row>
    <row r="12" ht="20" customHeight="1">
      <c r="B12" s="34" t="inlineStr">
        <is>
          <t>Client / companie:</t>
        </is>
      </c>
      <c r="C12" s="35" t="n"/>
      <c r="D12" s="26" t="n"/>
      <c r="E12" s="26" t="n"/>
      <c r="F12" s="26" t="n"/>
      <c r="G12" s="26" t="n"/>
      <c r="H12" s="26" t="n"/>
      <c r="J12" s="7" t="inlineStr">
        <is>
          <t>3. Scrieți cantitatea și, dacă e cazul, reducerea (ex. 5%).</t>
        </is>
      </c>
    </row>
    <row r="13" ht="20" customHeight="1">
      <c r="B13" s="34" t="inlineStr">
        <is>
          <t>Persoană de contact:</t>
        </is>
      </c>
      <c r="C13" s="35" t="n"/>
      <c r="D13" s="26" t="n"/>
      <c r="E13" s="26" t="n"/>
      <c r="F13" s="26" t="n"/>
      <c r="G13" s="26" t="n"/>
      <c r="H13" s="26" t="n"/>
      <c r="J13" s="7" t="inlineStr">
        <is>
          <t>4. Cursul vine din „Lista de prețuri” (F3); îl puteți schimba aici, doar pentru oferta aceasta.</t>
        </is>
      </c>
    </row>
    <row r="14" ht="20" customHeight="1">
      <c r="B14" s="34" t="inlineStr">
        <is>
          <t>Telefon:</t>
        </is>
      </c>
      <c r="C14" s="35" t="n"/>
      <c r="D14" s="26" t="n"/>
      <c r="E14" s="4" t="inlineStr">
        <is>
          <t>E-mail:</t>
        </is>
      </c>
      <c r="F14" s="35" t="n"/>
      <c r="G14" s="26" t="n"/>
      <c r="H14" s="26" t="n"/>
      <c r="J14" s="7" t="inlineStr">
        <is>
          <t>5. Primul rând e un exemplu: înlocuiți-l sau ștergeți-l.</t>
        </is>
      </c>
    </row>
    <row r="15" ht="20" customHeight="1">
      <c r="B15" s="34" t="inlineStr">
        <is>
          <t>Localitate / adresă:</t>
        </is>
      </c>
      <c r="C15" s="35" t="n"/>
      <c r="D15" s="26" t="n"/>
      <c r="E15" s="26" t="n"/>
      <c r="F15" s="26" t="n"/>
      <c r="G15" s="26" t="n"/>
      <c r="H15" s="26" t="n"/>
      <c r="J15" s="7" t="inlineStr">
        <is>
          <t>6. Pentru PDF: Fișier → Descărcare → PDF (o pagină, portret).</t>
        </is>
      </c>
    </row>
    <row r="17" ht="22" customHeight="1">
      <c r="A17" s="33" t="inlineStr">
        <is>
          <t>PRODUSE OFERITE</t>
        </is>
      </c>
    </row>
    <row r="18" ht="32" customHeight="1">
      <c r="A18" s="36" t="inlineStr">
        <is>
          <t>Nr.</t>
        </is>
      </c>
      <c r="B18" s="36" t="inlineStr">
        <is>
          <t>Produs (alegeți din listă)</t>
        </is>
      </c>
      <c r="C18" s="36" t="inlineStr">
        <is>
          <t>Pagina
produsului</t>
        </is>
      </c>
      <c r="D18" s="36" t="inlineStr">
        <is>
          <t>Cant.</t>
        </is>
      </c>
      <c r="E18" s="36" t="inlineStr">
        <is>
          <t>Preț unitar
EUR fără TVA</t>
        </is>
      </c>
      <c r="F18" s="36" t="inlineStr">
        <is>
          <t>Reducere
%</t>
        </is>
      </c>
      <c r="G18" s="36" t="inlineStr">
        <is>
          <t>Total EUR
fără TVA</t>
        </is>
      </c>
      <c r="H18" s="36" t="inlineStr">
        <is>
          <t>Total MDL
fără TVA</t>
        </is>
      </c>
    </row>
    <row r="19" ht="30" customHeight="1">
      <c r="A19" s="37">
        <f>IF(B19="","",ROW()-18)</f>
        <v/>
      </c>
      <c r="B19" s="38" t="inlineStr">
        <is>
          <t>Tractor LS MT1.25 HST FR STAGE V</t>
        </is>
      </c>
      <c r="C19" s="39">
        <f>IF(B19="","",IFERROR(HYPERLINK(INDEX(Catalog!$B$2:$B$34,MATCH(B19,Catalog!$A$2:$A$34,0)),"Vezi produs"),""))</f>
        <v/>
      </c>
      <c r="D19" s="25" t="n">
        <v>1</v>
      </c>
      <c r="E19" s="40">
        <f>IF(B19="","",IFERROR(INDEX(Catalog!$C$2:$C$34,MATCH(B19,Catalog!$A$2:$A$34,0)),"nu e în listă"))</f>
        <v/>
      </c>
      <c r="F19" s="31" t="n"/>
      <c r="G19" s="41">
        <f>IF(AND(ISNUMBER(D19),ISNUMBER(E19)),ROUND(D19*E19*(1-N(F19)),2),"")</f>
        <v/>
      </c>
      <c r="H19" s="42">
        <f>IF(ISNUMBER(G19),ROUND(G19*$C$9,0),"")</f>
        <v/>
      </c>
    </row>
    <row r="20" ht="30" customHeight="1">
      <c r="A20" s="37">
        <f>IF(B20="","",ROW()-18)</f>
        <v/>
      </c>
      <c r="B20" s="38" t="n"/>
      <c r="C20" s="39">
        <f>IF(B20="","",IFERROR(HYPERLINK(INDEX(Catalog!$B$2:$B$34,MATCH(B20,Catalog!$A$2:$A$34,0)),"Vezi produs"),""))</f>
        <v/>
      </c>
      <c r="D20" s="25" t="n"/>
      <c r="E20" s="40">
        <f>IF(B20="","",IFERROR(INDEX(Catalog!$C$2:$C$34,MATCH(B20,Catalog!$A$2:$A$34,0)),"nu e în listă"))</f>
        <v/>
      </c>
      <c r="F20" s="31" t="n"/>
      <c r="G20" s="41">
        <f>IF(AND(ISNUMBER(D20),ISNUMBER(E20)),ROUND(D20*E20*(1-N(F20)),2),"")</f>
        <v/>
      </c>
      <c r="H20" s="42">
        <f>IF(ISNUMBER(G20),ROUND(G20*$C$9,0),"")</f>
        <v/>
      </c>
    </row>
    <row r="21" ht="30" customHeight="1">
      <c r="A21" s="37">
        <f>IF(B21="","",ROW()-18)</f>
        <v/>
      </c>
      <c r="B21" s="38" t="n"/>
      <c r="C21" s="39">
        <f>IF(B21="","",IFERROR(HYPERLINK(INDEX(Catalog!$B$2:$B$34,MATCH(B21,Catalog!$A$2:$A$34,0)),"Vezi produs"),""))</f>
        <v/>
      </c>
      <c r="D21" s="25" t="n"/>
      <c r="E21" s="40">
        <f>IF(B21="","",IFERROR(INDEX(Catalog!$C$2:$C$34,MATCH(B21,Catalog!$A$2:$A$34,0)),"nu e în listă"))</f>
        <v/>
      </c>
      <c r="F21" s="31" t="n"/>
      <c r="G21" s="41">
        <f>IF(AND(ISNUMBER(D21),ISNUMBER(E21)),ROUND(D21*E21*(1-N(F21)),2),"")</f>
        <v/>
      </c>
      <c r="H21" s="42">
        <f>IF(ISNUMBER(G21),ROUND(G21*$C$9,0),"")</f>
        <v/>
      </c>
    </row>
    <row r="22" ht="30" customHeight="1">
      <c r="A22" s="37">
        <f>IF(B22="","",ROW()-18)</f>
        <v/>
      </c>
      <c r="B22" s="38" t="n"/>
      <c r="C22" s="39">
        <f>IF(B22="","",IFERROR(HYPERLINK(INDEX(Catalog!$B$2:$B$34,MATCH(B22,Catalog!$A$2:$A$34,0)),"Vezi produs"),""))</f>
        <v/>
      </c>
      <c r="D22" s="25" t="n"/>
      <c r="E22" s="40">
        <f>IF(B22="","",IFERROR(INDEX(Catalog!$C$2:$C$34,MATCH(B22,Catalog!$A$2:$A$34,0)),"nu e în listă"))</f>
        <v/>
      </c>
      <c r="F22" s="31" t="n"/>
      <c r="G22" s="41">
        <f>IF(AND(ISNUMBER(D22),ISNUMBER(E22)),ROUND(D22*E22*(1-N(F22)),2),"")</f>
        <v/>
      </c>
      <c r="H22" s="42">
        <f>IF(ISNUMBER(G22),ROUND(G22*$C$9,0),"")</f>
        <v/>
      </c>
    </row>
    <row r="23" ht="30" customHeight="1">
      <c r="A23" s="37">
        <f>IF(B23="","",ROW()-18)</f>
        <v/>
      </c>
      <c r="B23" s="38" t="n"/>
      <c r="C23" s="39">
        <f>IF(B23="","",IFERROR(HYPERLINK(INDEX(Catalog!$B$2:$B$34,MATCH(B23,Catalog!$A$2:$A$34,0)),"Vezi produs"),""))</f>
        <v/>
      </c>
      <c r="D23" s="25" t="n"/>
      <c r="E23" s="40">
        <f>IF(B23="","",IFERROR(INDEX(Catalog!$C$2:$C$34,MATCH(B23,Catalog!$A$2:$A$34,0)),"nu e în listă"))</f>
        <v/>
      </c>
      <c r="F23" s="31" t="n"/>
      <c r="G23" s="41">
        <f>IF(AND(ISNUMBER(D23),ISNUMBER(E23)),ROUND(D23*E23*(1-N(F23)),2),"")</f>
        <v/>
      </c>
      <c r="H23" s="42">
        <f>IF(ISNUMBER(G23),ROUND(G23*$C$9,0),"")</f>
        <v/>
      </c>
    </row>
    <row r="24" ht="30" customHeight="1">
      <c r="A24" s="37">
        <f>IF(B24="","",ROW()-18)</f>
        <v/>
      </c>
      <c r="B24" s="38" t="n"/>
      <c r="C24" s="39">
        <f>IF(B24="","",IFERROR(HYPERLINK(INDEX(Catalog!$B$2:$B$34,MATCH(B24,Catalog!$A$2:$A$34,0)),"Vezi produs"),""))</f>
        <v/>
      </c>
      <c r="D24" s="25" t="n"/>
      <c r="E24" s="40">
        <f>IF(B24="","",IFERROR(INDEX(Catalog!$C$2:$C$34,MATCH(B24,Catalog!$A$2:$A$34,0)),"nu e în listă"))</f>
        <v/>
      </c>
      <c r="F24" s="31" t="n"/>
      <c r="G24" s="41">
        <f>IF(AND(ISNUMBER(D24),ISNUMBER(E24)),ROUND(D24*E24*(1-N(F24)),2),"")</f>
        <v/>
      </c>
      <c r="H24" s="42">
        <f>IF(ISNUMBER(G24),ROUND(G24*$C$9,0),"")</f>
        <v/>
      </c>
    </row>
    <row r="25" ht="30" customHeight="1">
      <c r="A25" s="37">
        <f>IF(B25="","",ROW()-18)</f>
        <v/>
      </c>
      <c r="B25" s="38" t="n"/>
      <c r="C25" s="39">
        <f>IF(B25="","",IFERROR(HYPERLINK(INDEX(Catalog!$B$2:$B$34,MATCH(B25,Catalog!$A$2:$A$34,0)),"Vezi produs"),""))</f>
        <v/>
      </c>
      <c r="D25" s="25" t="n"/>
      <c r="E25" s="40">
        <f>IF(B25="","",IFERROR(INDEX(Catalog!$C$2:$C$34,MATCH(B25,Catalog!$A$2:$A$34,0)),"nu e în listă"))</f>
        <v/>
      </c>
      <c r="F25" s="31" t="n"/>
      <c r="G25" s="41">
        <f>IF(AND(ISNUMBER(D25),ISNUMBER(E25)),ROUND(D25*E25*(1-N(F25)),2),"")</f>
        <v/>
      </c>
      <c r="H25" s="42">
        <f>IF(ISNUMBER(G25),ROUND(G25*$C$9,0),"")</f>
        <v/>
      </c>
    </row>
    <row r="26" ht="30" customHeight="1">
      <c r="A26" s="37">
        <f>IF(B26="","",ROW()-18)</f>
        <v/>
      </c>
      <c r="B26" s="38" t="n"/>
      <c r="C26" s="39">
        <f>IF(B26="","",IFERROR(HYPERLINK(INDEX(Catalog!$B$2:$B$34,MATCH(B26,Catalog!$A$2:$A$34,0)),"Vezi produs"),""))</f>
        <v/>
      </c>
      <c r="D26" s="25" t="n"/>
      <c r="E26" s="40">
        <f>IF(B26="","",IFERROR(INDEX(Catalog!$C$2:$C$34,MATCH(B26,Catalog!$A$2:$A$34,0)),"nu e în listă"))</f>
        <v/>
      </c>
      <c r="F26" s="31" t="n"/>
      <c r="G26" s="41">
        <f>IF(AND(ISNUMBER(D26),ISNUMBER(E26)),ROUND(D26*E26*(1-N(F26)),2),"")</f>
        <v/>
      </c>
      <c r="H26" s="42">
        <f>IF(ISNUMBER(G26),ROUND(G26*$C$9,0),"")</f>
        <v/>
      </c>
    </row>
    <row r="27" ht="30" customHeight="1">
      <c r="A27" s="37">
        <f>IF(B27="","",ROW()-18)</f>
        <v/>
      </c>
      <c r="B27" s="38" t="n"/>
      <c r="C27" s="39">
        <f>IF(B27="","",IFERROR(HYPERLINK(INDEX(Catalog!$B$2:$B$34,MATCH(B27,Catalog!$A$2:$A$34,0)),"Vezi produs"),""))</f>
        <v/>
      </c>
      <c r="D27" s="25" t="n"/>
      <c r="E27" s="40">
        <f>IF(B27="","",IFERROR(INDEX(Catalog!$C$2:$C$34,MATCH(B27,Catalog!$A$2:$A$34,0)),"nu e în listă"))</f>
        <v/>
      </c>
      <c r="F27" s="31" t="n"/>
      <c r="G27" s="41">
        <f>IF(AND(ISNUMBER(D27),ISNUMBER(E27)),ROUND(D27*E27*(1-N(F27)),2),"")</f>
        <v/>
      </c>
      <c r="H27" s="42">
        <f>IF(ISNUMBER(G27),ROUND(G27*$C$9,0),"")</f>
        <v/>
      </c>
    </row>
    <row r="28" ht="30" customHeight="1">
      <c r="A28" s="37">
        <f>IF(B28="","",ROW()-18)</f>
        <v/>
      </c>
      <c r="B28" s="38" t="n"/>
      <c r="C28" s="39">
        <f>IF(B28="","",IFERROR(HYPERLINK(INDEX(Catalog!$B$2:$B$34,MATCH(B28,Catalog!$A$2:$A$34,0)),"Vezi produs"),""))</f>
        <v/>
      </c>
      <c r="D28" s="25" t="n"/>
      <c r="E28" s="40">
        <f>IF(B28="","",IFERROR(INDEX(Catalog!$C$2:$C$34,MATCH(B28,Catalog!$A$2:$A$34,0)),"nu e în listă"))</f>
        <v/>
      </c>
      <c r="F28" s="31" t="n"/>
      <c r="G28" s="41">
        <f>IF(AND(ISNUMBER(D28),ISNUMBER(E28)),ROUND(D28*E28*(1-N(F28)),2),"")</f>
        <v/>
      </c>
      <c r="H28" s="42">
        <f>IF(ISNUMBER(G28),ROUND(G28*$C$9,0),"")</f>
        <v/>
      </c>
    </row>
    <row r="30" ht="22" customHeight="1">
      <c r="E30" s="4" t="inlineStr">
        <is>
          <t>Total fără TVA</t>
        </is>
      </c>
      <c r="G30" s="43">
        <f>SUM(G19:G28)</f>
        <v/>
      </c>
      <c r="H30" s="44">
        <f>SUM(H19:H28)</f>
        <v/>
      </c>
    </row>
    <row r="31" ht="22" customHeight="1">
      <c r="E31" s="4">
        <f>"TVA "&amp;TEXT(CotaTVA,"0%")</f>
        <v/>
      </c>
      <c r="G31" s="43">
        <f>ROUND(G30*CotaTVA,2)</f>
        <v/>
      </c>
      <c r="H31" s="44">
        <f>ROUND(H30*CotaTVA,0)</f>
        <v/>
      </c>
    </row>
    <row r="32" ht="22" customHeight="1">
      <c r="E32" s="45" t="inlineStr">
        <is>
          <t>TOTAL cu TVA</t>
        </is>
      </c>
      <c r="G32" s="46">
        <f>G30+G31</f>
        <v/>
      </c>
      <c r="H32" s="47">
        <f>H30+H31</f>
        <v/>
      </c>
    </row>
    <row r="34" ht="22" customHeight="1">
      <c r="A34" s="33" t="inlineStr">
        <is>
          <t>CONDIȚII</t>
        </is>
      </c>
    </row>
    <row r="35" ht="20" customHeight="1">
      <c r="B35" s="34" t="inlineStr">
        <is>
          <t>Garanție:</t>
        </is>
      </c>
      <c r="C35" s="48" t="inlineStr">
        <is>
          <t>12 luni.</t>
        </is>
      </c>
    </row>
    <row r="36" ht="20" customHeight="1">
      <c r="B36" s="34" t="inlineStr">
        <is>
          <t>Livrare:</t>
        </is>
      </c>
      <c r="C36" s="48" t="inlineStr">
        <is>
          <t>Termenul de livrare în funcție de stocul disponibil.</t>
        </is>
      </c>
    </row>
    <row r="37" ht="20" customHeight="1">
      <c r="B37" s="34" t="inlineStr">
        <is>
          <t>Finanțare:</t>
        </is>
      </c>
      <c r="C37" s="48" t="inlineStr">
        <is>
          <t>Asistență și consultanță calificată pentru aplicarea la sisteme de finanțare și subvenționare.</t>
        </is>
      </c>
    </row>
    <row r="38" ht="20" customHeight="1">
      <c r="B38" s="34" t="inlineStr">
        <is>
          <t>Service:</t>
        </is>
      </c>
      <c r="C38" s="48" t="inlineStr">
        <is>
          <t>Asistență tehnică în 48 de ore.</t>
        </is>
      </c>
    </row>
    <row r="39" ht="20" customHeight="1">
      <c r="B39" s="34" t="inlineStr">
        <is>
          <t>Suport post-vânzare:</t>
        </is>
      </c>
      <c r="C39" s="48" t="inlineStr">
        <is>
          <t>Susținem toți clienții printr-o echipă dedicată de piese și accesorii.</t>
        </is>
      </c>
    </row>
    <row r="40" ht="20" customHeight="1">
      <c r="B40" s="34" t="inlineStr">
        <is>
          <t>Prețuri:</t>
        </is>
      </c>
      <c r="C40" s="48" t="inlineStr">
        <is>
          <t>Prețurile sunt în EUR, fără TVA. Suma în MDL este calculată la cursul din C9.</t>
        </is>
      </c>
    </row>
    <row r="41" ht="20" customHeight="1">
      <c r="B41" s="34" t="inlineStr">
        <is>
          <t>Condiții de plată:</t>
        </is>
      </c>
      <c r="C41" s="35" t="n"/>
      <c r="D41" s="26" t="n"/>
      <c r="E41" s="26" t="n"/>
      <c r="F41" s="26" t="n"/>
      <c r="G41" s="26" t="n"/>
      <c r="H41" s="26" t="n"/>
    </row>
    <row r="43" ht="20" customHeight="1">
      <c r="B43" s="34" t="inlineStr">
        <is>
          <t>Întocmit de:</t>
        </is>
      </c>
      <c r="C43" s="35" t="n"/>
      <c r="D43" s="26" t="n"/>
      <c r="E43" s="4" t="inlineStr">
        <is>
          <t>Telefon:</t>
        </is>
      </c>
      <c r="F43" s="35" t="n"/>
      <c r="G43" s="26" t="n"/>
      <c r="H43" s="26" t="n"/>
    </row>
    <row r="45" ht="26" customHeight="1">
      <c r="B45" s="34" t="inlineStr">
        <is>
          <t>Semnătura:</t>
        </is>
      </c>
      <c r="C45" s="49" t="n"/>
      <c r="D45" s="49" t="n"/>
    </row>
    <row r="47">
      <c r="B47" s="50" t="inlineStr">
        <is>
          <t>Apăsați aici sau scanați codul pentru site-ul Ozonteh: ozonteh.net</t>
        </is>
      </c>
    </row>
  </sheetData>
  <mergeCells count="27">
    <mergeCell ref="C41:H41"/>
    <mergeCell ref="C40:H40"/>
    <mergeCell ref="D1:H1"/>
    <mergeCell ref="C14:D14"/>
    <mergeCell ref="A11:H11"/>
    <mergeCell ref="C12:H12"/>
    <mergeCell ref="C36:H36"/>
    <mergeCell ref="A7:H7"/>
    <mergeCell ref="D2:H2"/>
    <mergeCell ref="C39:H39"/>
    <mergeCell ref="F43:H43"/>
    <mergeCell ref="C9:D9"/>
    <mergeCell ref="E31:F31"/>
    <mergeCell ref="C43:D43"/>
    <mergeCell ref="C38:H38"/>
    <mergeCell ref="E30:F30"/>
    <mergeCell ref="F14:H14"/>
    <mergeCell ref="C13:H13"/>
    <mergeCell ref="C37:H37"/>
    <mergeCell ref="D4:H4"/>
    <mergeCell ref="C8:D8"/>
    <mergeCell ref="D3:H3"/>
    <mergeCell ref="A17:H17"/>
    <mergeCell ref="C15:H15"/>
    <mergeCell ref="E32:F32"/>
    <mergeCell ref="C35:H35"/>
    <mergeCell ref="A34:H34"/>
  </mergeCells>
  <conditionalFormatting sqref="C8:D8">
    <cfRule type="expression" priority="1" dxfId="0" stopIfTrue="0">
      <formula>$C$8=""</formula>
    </cfRule>
  </conditionalFormatting>
  <conditionalFormatting sqref="F8">
    <cfRule type="expression" priority="2" dxfId="0" stopIfTrue="0">
      <formula>$F$8=""</formula>
    </cfRule>
  </conditionalFormatting>
  <conditionalFormatting sqref="H8">
    <cfRule type="expression" priority="3" dxfId="0" stopIfTrue="0">
      <formula>$H$8=""</formula>
    </cfRule>
  </conditionalFormatting>
  <conditionalFormatting sqref="C9:D9">
    <cfRule type="expression" priority="4" dxfId="0" stopIfTrue="0">
      <formula>$C$9=""</formula>
    </cfRule>
  </conditionalFormatting>
  <conditionalFormatting sqref="F9">
    <cfRule type="expression" priority="5" dxfId="0" stopIfTrue="0">
      <formula>$F$9=""</formula>
    </cfRule>
  </conditionalFormatting>
  <conditionalFormatting sqref="C12:H12">
    <cfRule type="expression" priority="6" dxfId="0" stopIfTrue="0">
      <formula>$C$12=""</formula>
    </cfRule>
  </conditionalFormatting>
  <conditionalFormatting sqref="C13:H13">
    <cfRule type="expression" priority="7" dxfId="0" stopIfTrue="0">
      <formula>$C$13=""</formula>
    </cfRule>
  </conditionalFormatting>
  <conditionalFormatting sqref="C14:D14">
    <cfRule type="expression" priority="8" dxfId="0" stopIfTrue="0">
      <formula>$C$14=""</formula>
    </cfRule>
  </conditionalFormatting>
  <conditionalFormatting sqref="F14:H14">
    <cfRule type="expression" priority="9" dxfId="0" stopIfTrue="0">
      <formula>$F$14=""</formula>
    </cfRule>
  </conditionalFormatting>
  <conditionalFormatting sqref="C15:H15">
    <cfRule type="expression" priority="10" dxfId="0" stopIfTrue="0">
      <formula>$C$15=""</formula>
    </cfRule>
  </conditionalFormatting>
  <conditionalFormatting sqref="B19">
    <cfRule type="expression" priority="11" dxfId="0" stopIfTrue="0">
      <formula>$B19=""</formula>
    </cfRule>
  </conditionalFormatting>
  <conditionalFormatting sqref="D19">
    <cfRule type="expression" priority="12" dxfId="0" stopIfTrue="0">
      <formula>AND($B19&lt;&gt;"",$D19="")</formula>
    </cfRule>
  </conditionalFormatting>
  <conditionalFormatting sqref="B20">
    <cfRule type="expression" priority="13" dxfId="0" stopIfTrue="0">
      <formula>AND($B20="",$B19&lt;&gt;"")</formula>
    </cfRule>
  </conditionalFormatting>
  <conditionalFormatting sqref="D20">
    <cfRule type="expression" priority="14" dxfId="0" stopIfTrue="0">
      <formula>AND($B20&lt;&gt;"",$D20="")</formula>
    </cfRule>
  </conditionalFormatting>
  <conditionalFormatting sqref="B21">
    <cfRule type="expression" priority="15" dxfId="0" stopIfTrue="0">
      <formula>AND($B21="",$B20&lt;&gt;"")</formula>
    </cfRule>
  </conditionalFormatting>
  <conditionalFormatting sqref="D21">
    <cfRule type="expression" priority="16" dxfId="0" stopIfTrue="0">
      <formula>AND($B21&lt;&gt;"",$D21="")</formula>
    </cfRule>
  </conditionalFormatting>
  <conditionalFormatting sqref="B22">
    <cfRule type="expression" priority="17" dxfId="0" stopIfTrue="0">
      <formula>AND($B22="",$B21&lt;&gt;"")</formula>
    </cfRule>
  </conditionalFormatting>
  <conditionalFormatting sqref="D22">
    <cfRule type="expression" priority="18" dxfId="0" stopIfTrue="0">
      <formula>AND($B22&lt;&gt;"",$D22="")</formula>
    </cfRule>
  </conditionalFormatting>
  <conditionalFormatting sqref="B23">
    <cfRule type="expression" priority="19" dxfId="0" stopIfTrue="0">
      <formula>AND($B23="",$B22&lt;&gt;"")</formula>
    </cfRule>
  </conditionalFormatting>
  <conditionalFormatting sqref="D23">
    <cfRule type="expression" priority="20" dxfId="0" stopIfTrue="0">
      <formula>AND($B23&lt;&gt;"",$D23="")</formula>
    </cfRule>
  </conditionalFormatting>
  <conditionalFormatting sqref="B24">
    <cfRule type="expression" priority="21" dxfId="0" stopIfTrue="0">
      <formula>AND($B24="",$B23&lt;&gt;"")</formula>
    </cfRule>
  </conditionalFormatting>
  <conditionalFormatting sqref="D24">
    <cfRule type="expression" priority="22" dxfId="0" stopIfTrue="0">
      <formula>AND($B24&lt;&gt;"",$D24="")</formula>
    </cfRule>
  </conditionalFormatting>
  <conditionalFormatting sqref="B25">
    <cfRule type="expression" priority="23" dxfId="0" stopIfTrue="0">
      <formula>AND($B25="",$B24&lt;&gt;"")</formula>
    </cfRule>
  </conditionalFormatting>
  <conditionalFormatting sqref="D25">
    <cfRule type="expression" priority="24" dxfId="0" stopIfTrue="0">
      <formula>AND($B25&lt;&gt;"",$D25="")</formula>
    </cfRule>
  </conditionalFormatting>
  <conditionalFormatting sqref="B26">
    <cfRule type="expression" priority="25" dxfId="0" stopIfTrue="0">
      <formula>AND($B26="",$B25&lt;&gt;"")</formula>
    </cfRule>
  </conditionalFormatting>
  <conditionalFormatting sqref="D26">
    <cfRule type="expression" priority="26" dxfId="0" stopIfTrue="0">
      <formula>AND($B26&lt;&gt;"",$D26="")</formula>
    </cfRule>
  </conditionalFormatting>
  <conditionalFormatting sqref="B27">
    <cfRule type="expression" priority="27" dxfId="0" stopIfTrue="0">
      <formula>AND($B27="",$B26&lt;&gt;"")</formula>
    </cfRule>
  </conditionalFormatting>
  <conditionalFormatting sqref="D27">
    <cfRule type="expression" priority="28" dxfId="0" stopIfTrue="0">
      <formula>AND($B27&lt;&gt;"",$D27="")</formula>
    </cfRule>
  </conditionalFormatting>
  <conditionalFormatting sqref="B28">
    <cfRule type="expression" priority="29" dxfId="0" stopIfTrue="0">
      <formula>AND($B28="",$B27&lt;&gt;"")</formula>
    </cfRule>
  </conditionalFormatting>
  <conditionalFormatting sqref="D28">
    <cfRule type="expression" priority="30" dxfId="0" stopIfTrue="0">
      <formula>AND($B28&lt;&gt;"",$D28="")</formula>
    </cfRule>
  </conditionalFormatting>
  <conditionalFormatting sqref="C41:H41">
    <cfRule type="expression" priority="31" dxfId="0" stopIfTrue="0">
      <formula>$C$41=""</formula>
    </cfRule>
  </conditionalFormatting>
  <conditionalFormatting sqref="C43:D43">
    <cfRule type="expression" priority="32" dxfId="0" stopIfTrue="0">
      <formula>$C$43=""</formula>
    </cfRule>
  </conditionalFormatting>
  <conditionalFormatting sqref="F43:H43">
    <cfRule type="expression" priority="33" dxfId="0" stopIfTrue="0">
      <formula>$F$43=""</formula>
    </cfRule>
  </conditionalFormatting>
  <dataValidations count="1">
    <dataValidation sqref="B19 B20 B21 B22 B23 B24 B25 B26 B27 B28" showDropDown="0" showInputMessage="0" showErrorMessage="1" allowBlank="1" errorTitle="Produs necunoscut" error="Alegeți produsul din listă (săgeata din dreapta celulei)." type="list">
      <formula1>Catalog!$A$2:$A$34</formula1>
    </dataValidation>
  </dataValidations>
  <hyperlinks>
    <hyperlink xmlns:r="http://schemas.openxmlformats.org/officeDocument/2006/relationships" ref="D4" r:id="rId1"/>
    <hyperlink xmlns:r="http://schemas.openxmlformats.org/officeDocument/2006/relationships" ref="B47" r:id="rId2"/>
  </hyperlinks>
  <printOptions horizontalCentered="1"/>
  <pageMargins left="0.4" right="0.4" top="0.4" bottom="0.4" header="0.5" footer="0.5"/>
  <pageSetup orientation="portrait" paperSize="9" fitToHeight="1" fitToWidth="1"/>
  <drawing xmlns:r="http://schemas.openxmlformats.org/officeDocument/2006/relationships" r:id="rId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55" customWidth="1" min="1" max="1"/>
    <col width="60" customWidth="1" min="2" max="2"/>
    <col width="14" customWidth="1" min="3" max="3"/>
    <col width="14" customWidth="1" min="4" max="4"/>
    <col width="14" customWidth="1" min="5" max="5"/>
    <col width="60" customWidth="1" min="6" max="6"/>
    <col width="30" customWidth="1" min="7" max="7"/>
  </cols>
  <sheetData>
    <row r="1">
      <c r="A1" s="51" t="inlineStr">
        <is>
          <t>Denumire</t>
        </is>
      </c>
      <c r="B1" s="51" t="inlineStr">
        <is>
          <t>Link produs</t>
        </is>
      </c>
      <c r="C1" s="51" t="inlineStr">
        <is>
          <t>Preț final EUR</t>
        </is>
      </c>
      <c r="D1" s="51" t="inlineStr">
        <is>
          <t>Preț listă EUR</t>
        </is>
      </c>
      <c r="E1" s="51" t="inlineStr">
        <is>
          <t>Preț promo EUR</t>
        </is>
      </c>
      <c r="F1" s="51" t="inlineStr">
        <is>
          <t>Link ofertă</t>
        </is>
      </c>
      <c r="G1" s="51" t="inlineStr">
        <is>
          <t>Categorie</t>
        </is>
      </c>
    </row>
    <row r="2">
      <c r="A2">
        <f>'Lista de prețuri'!C8</f>
        <v/>
      </c>
      <c r="B2" t="inlineStr">
        <is>
          <t>https://ozonteh.net/product/tractor-ls-mt1-25-hst-fr-stage-v/</t>
        </is>
      </c>
      <c r="C2">
        <f>IF(ISNUMBER('Lista de prețuri'!E8),'Lista de prețuri'!E8,IF(ISNUMBER('Lista de prețuri'!D8),'Lista de prețuri'!D8,"La cerere"))</f>
        <v/>
      </c>
      <c r="D2">
        <f>'Lista de prețuri'!D8</f>
        <v/>
      </c>
      <c r="E2">
        <f>IF(ISNUMBER('Lista de prețuri'!E8),'Lista de prețuri'!E8,"")</f>
        <v/>
      </c>
      <c r="F2" t="inlineStr">
        <is>
          <t>https://docs.google.com/spreadsheets/d/1d-DPcMuOkaZlDNGeg9TxpVeKWLoCmQmcg_WQlKofOYw/edit?usp=sharing</t>
        </is>
      </c>
      <c r="G2" t="inlineStr">
        <is>
          <t>Tractoare LS</t>
        </is>
      </c>
    </row>
    <row r="3">
      <c r="A3">
        <f>'Lista de prețuri'!C9</f>
        <v/>
      </c>
      <c r="B3" t="inlineStr">
        <is>
          <t>https://ozonteh.net/product/tractor-xj25-mt-fr-stage-v/</t>
        </is>
      </c>
      <c r="C3">
        <f>IF(ISNUMBER('Lista de prețuri'!E9),'Lista de prețuri'!E9,IF(ISNUMBER('Lista de prețuri'!D9),'Lista de prețuri'!D9,"La cerere"))</f>
        <v/>
      </c>
      <c r="D3">
        <f>'Lista de prețuri'!D9</f>
        <v/>
      </c>
      <c r="E3">
        <f>IF(ISNUMBER('Lista de prețuri'!E9),'Lista de prețuri'!E9,"")</f>
        <v/>
      </c>
      <c r="F3" t="inlineStr">
        <is>
          <t>https://docs.google.com/spreadsheets/d/1VQUUmNMOugokWzoEBQteocTw_VVBCUisyUYrb1yNTNg/edit?usp=sharing</t>
        </is>
      </c>
      <c r="G3" t="inlineStr">
        <is>
          <t>Tractoare LS</t>
        </is>
      </c>
    </row>
    <row r="4">
      <c r="A4">
        <f>'Lista de prețuri'!C10</f>
        <v/>
      </c>
      <c r="B4" t="inlineStr">
        <is>
          <t>https://ozonteh.net/product/tractor-mt3-40-mt-cab-stage-v/</t>
        </is>
      </c>
      <c r="C4">
        <f>IF(ISNUMBER('Lista de prețuri'!E10),'Lista de prețuri'!E10,IF(ISNUMBER('Lista de prețuri'!D10),'Lista de prețuri'!D10,"La cerere"))</f>
        <v/>
      </c>
      <c r="D4">
        <f>'Lista de prețuri'!D10</f>
        <v/>
      </c>
      <c r="E4">
        <f>IF(ISNUMBER('Lista de prețuri'!E10),'Lista de prețuri'!E10,"")</f>
        <v/>
      </c>
      <c r="F4" t="inlineStr">
        <is>
          <t>https://docs.google.com/spreadsheets/d/1yYM2gIqSNpscZ1f5BRUCLptsh20Yj_aWCqxgiDdFRHI/edit?usp=sharing</t>
        </is>
      </c>
      <c r="G4" t="inlineStr">
        <is>
          <t>Tractoare LS</t>
        </is>
      </c>
    </row>
    <row r="5">
      <c r="A5">
        <f>'Lista de prețuri'!C11</f>
        <v/>
      </c>
      <c r="B5" t="inlineStr">
        <is>
          <t>https://ozonteh.net/product/tractor-mt3-50-mt-cab-stage-v/</t>
        </is>
      </c>
      <c r="C5">
        <f>IF(ISNUMBER('Lista de prețuri'!E11),'Lista de prețuri'!E11,IF(ISNUMBER('Lista de prețuri'!D11),'Lista de prețuri'!D11,"La cerere"))</f>
        <v/>
      </c>
      <c r="D5">
        <f>'Lista de prețuri'!D11</f>
        <v/>
      </c>
      <c r="E5">
        <f>IF(ISNUMBER('Lista de prețuri'!E11),'Lista de prețuri'!E11,"")</f>
        <v/>
      </c>
      <c r="F5" t="inlineStr">
        <is>
          <t>https://docs.google.com/spreadsheets/d/1hwIsvZr-t15z8L8x6ttimy04T5xt7_Om8mN38PicCxE/edit?usp=sharing</t>
        </is>
      </c>
      <c r="G5" t="inlineStr">
        <is>
          <t>Tractoare LS</t>
        </is>
      </c>
    </row>
    <row r="6">
      <c r="A6">
        <f>'Lista de prețuri'!C12</f>
        <v/>
      </c>
      <c r="B6" t="inlineStr">
        <is>
          <t>https://ozonteh.net/product/tractor-mt3-60-mt-cab-stage-v/</t>
        </is>
      </c>
      <c r="C6">
        <f>IF(ISNUMBER('Lista de prețuri'!E12),'Lista de prețuri'!E12,IF(ISNUMBER('Lista de prețuri'!D12),'Lista de prețuri'!D12,"La cerere"))</f>
        <v/>
      </c>
      <c r="D6">
        <f>'Lista de prețuri'!D12</f>
        <v/>
      </c>
      <c r="E6">
        <f>IF(ISNUMBER('Lista de prețuri'!E12),'Lista de prețuri'!E12,"")</f>
        <v/>
      </c>
      <c r="F6" t="inlineStr">
        <is>
          <t>https://docs.google.com/spreadsheets/d/1e4uZ5T07wzVUbhO9i8vLj7ReTvCsVDTt7KYoZ_i_kEU/edit?usp=sharing</t>
        </is>
      </c>
      <c r="G6" t="inlineStr">
        <is>
          <t>Tractoare LS</t>
        </is>
      </c>
    </row>
    <row r="7">
      <c r="A7">
        <f>'Lista de prețuri'!C13</f>
        <v/>
      </c>
      <c r="B7" t="inlineStr">
        <is>
          <t>https://ozonteh.net/product/tractor-r36i-mt-fr-non-eu/</t>
        </is>
      </c>
      <c r="C7">
        <f>IF(ISNUMBER('Lista de prețuri'!E13),'Lista de prețuri'!E13,IF(ISNUMBER('Lista de prețuri'!D13),'Lista de prețuri'!D13,"La cerere"))</f>
        <v/>
      </c>
      <c r="D7">
        <f>'Lista de prețuri'!D13</f>
        <v/>
      </c>
      <c r="E7">
        <f>IF(ISNUMBER('Lista de prețuri'!E13),'Lista de prețuri'!E13,"")</f>
        <v/>
      </c>
      <c r="F7" t="inlineStr">
        <is>
          <t>https://docs.google.com/spreadsheets/d/1bF0osNx7iTzx2rOInxHjgC4tdJ-VqUR4iagR6EDNOow/edit?usp=sharing</t>
        </is>
      </c>
      <c r="G7" t="inlineStr">
        <is>
          <t>Tractoare LS</t>
        </is>
      </c>
    </row>
    <row r="8">
      <c r="A8">
        <f>'Lista de prețuri'!C14</f>
        <v/>
      </c>
      <c r="B8" t="inlineStr">
        <is>
          <t>https://ozonteh.net/product/tractor-r60-mt-fr-non-eu/</t>
        </is>
      </c>
      <c r="C8">
        <f>IF(ISNUMBER('Lista de prețuri'!E14),'Lista de prețuri'!E14,IF(ISNUMBER('Lista de prețuri'!D14),'Lista de prețuri'!D14,"La cerere"))</f>
        <v/>
      </c>
      <c r="D8">
        <f>'Lista de prețuri'!D14</f>
        <v/>
      </c>
      <c r="E8">
        <f>IF(ISNUMBER('Lista de prețuri'!E14),'Lista de prețuri'!E14,"")</f>
        <v/>
      </c>
      <c r="F8" t="inlineStr">
        <is>
          <t>https://docs.google.com/spreadsheets/d/1zmWso-JJ1cTvMqmt0iXACNiYgEGPBAVS7_HjC191RC0/edit?usp=sharing</t>
        </is>
      </c>
      <c r="G8" t="inlineStr">
        <is>
          <t>Tractoare LS</t>
        </is>
      </c>
    </row>
    <row r="9">
      <c r="A9">
        <f>'Lista de prețuri'!C15</f>
        <v/>
      </c>
      <c r="B9" t="inlineStr">
        <is>
          <t>https://ozonteh.net/product/tractor-r65-mt-cab-non-eu/</t>
        </is>
      </c>
      <c r="C9">
        <f>IF(ISNUMBER('Lista de prețuri'!E15),'Lista de prețuri'!E15,IF(ISNUMBER('Lista de prețuri'!D15),'Lista de prețuri'!D15,"La cerere"))</f>
        <v/>
      </c>
      <c r="D9">
        <f>'Lista de prețuri'!D15</f>
        <v/>
      </c>
      <c r="E9">
        <f>IF(ISNUMBER('Lista de prețuri'!E15),'Lista de prețuri'!E15,"")</f>
        <v/>
      </c>
      <c r="F9" t="inlineStr">
        <is>
          <t>https://docs.google.com/spreadsheets/d/1vSn7oGUQqW-85Mfe3gS_XxdNMBYkywPC5ALg2EL10XA/edit?usp=sharing</t>
        </is>
      </c>
      <c r="G9" t="inlineStr">
        <is>
          <t>Tractoare LS</t>
        </is>
      </c>
    </row>
    <row r="10">
      <c r="A10">
        <f>'Lista de prețuri'!C16</f>
        <v/>
      </c>
      <c r="B10" t="inlineStr">
        <is>
          <t>https://ozonteh.net/product/tractor-xr50-mt-cab-non-eu/</t>
        </is>
      </c>
      <c r="C10">
        <f>IF(ISNUMBER('Lista de prețuri'!E16),'Lista de prețuri'!E16,IF(ISNUMBER('Lista de prețuri'!D16),'Lista de prețuri'!D16,"La cerere"))</f>
        <v/>
      </c>
      <c r="D10">
        <f>'Lista de prețuri'!D16</f>
        <v/>
      </c>
      <c r="E10">
        <f>IF(ISNUMBER('Lista de prețuri'!E16),'Lista de prețuri'!E16,"")</f>
        <v/>
      </c>
      <c r="F10" t="inlineStr">
        <is>
          <t>https://docs.google.com/spreadsheets/d/1XFH7SnDTHnhod_jWpoSeXCdjaGhVQHgZlP3eILJ-bIU/edit?usp=sharing</t>
        </is>
      </c>
      <c r="G10" t="inlineStr">
        <is>
          <t>Tractoare LS</t>
        </is>
      </c>
    </row>
    <row r="11">
      <c r="A11">
        <f>'Lista de prețuri'!C17</f>
        <v/>
      </c>
      <c r="B11" t="inlineStr">
        <is>
          <t>https://ozonteh.net/product/tractor-u60-mt-cab-non-eu/</t>
        </is>
      </c>
      <c r="C11">
        <f>IF(ISNUMBER('Lista de prețuri'!E17),'Lista de prețuri'!E17,IF(ISNUMBER('Lista de prețuri'!D17),'Lista de prețuri'!D17,"La cerere"))</f>
        <v/>
      </c>
      <c r="D11">
        <f>'Lista de prețuri'!D17</f>
        <v/>
      </c>
      <c r="E11">
        <f>IF(ISNUMBER('Lista de prețuri'!E17),'Lista de prețuri'!E17,"")</f>
        <v/>
      </c>
      <c r="F11" t="inlineStr">
        <is>
          <t>https://docs.google.com/spreadsheets/d/1Yp2qwXE6ItWGFFv0_QZmK26EA8jzjg0HotoSA-oyxfs/edit?usp=sharing</t>
        </is>
      </c>
      <c r="G11" t="inlineStr">
        <is>
          <t>Tractoare LS</t>
        </is>
      </c>
    </row>
    <row r="12">
      <c r="A12">
        <f>'Lista de prețuri'!C18</f>
        <v/>
      </c>
      <c r="B12" t="inlineStr">
        <is>
          <t>https://ozonteh.net/product/tractor-xu6168-mt-cab-stage-v/</t>
        </is>
      </c>
      <c r="C12">
        <f>IF(ISNUMBER('Lista de prețuri'!E18),'Lista de prețuri'!E18,IF(ISNUMBER('Lista de prețuri'!D18),'Lista de prețuri'!D18,"La cerere"))</f>
        <v/>
      </c>
      <c r="D12">
        <f>'Lista de prețuri'!D18</f>
        <v/>
      </c>
      <c r="E12">
        <f>IF(ISNUMBER('Lista de prețuri'!E18),'Lista de prețuri'!E18,"")</f>
        <v/>
      </c>
      <c r="F12" t="inlineStr">
        <is>
          <t>https://docs.google.com/spreadsheets/d/1rlaXvsPbOROWxPd0MQD5BSPnbHFCkNHQMY3zDutTqKE/edit?usp=sharing</t>
        </is>
      </c>
      <c r="G12" t="inlineStr">
        <is>
          <t>Tractoare LS</t>
        </is>
      </c>
    </row>
    <row r="13">
      <c r="A13">
        <f>'Lista de prețuri'!C19</f>
        <v/>
      </c>
      <c r="B13" t="inlineStr">
        <is>
          <t>https://ozonteh.net/product/tractor-mt5-73-ps-cab-stage-v/</t>
        </is>
      </c>
      <c r="C13">
        <f>IF(ISNUMBER('Lista de prețuri'!E19),'Lista de prețuri'!E19,IF(ISNUMBER('Lista de prețuri'!D19),'Lista de prețuri'!D19,"La cerere"))</f>
        <v/>
      </c>
      <c r="D13">
        <f>'Lista de prețuri'!D19</f>
        <v/>
      </c>
      <c r="E13">
        <f>IF(ISNUMBER('Lista de prețuri'!E19),'Lista de prețuri'!E19,"")</f>
        <v/>
      </c>
      <c r="F13" t="inlineStr">
        <is>
          <t>https://docs.google.com/spreadsheets/d/1MqOtJ4FFtNtOWAlbvtaUiyLpjImXTADH7bqVPMMbD9M/edit?usp=sharing</t>
        </is>
      </c>
      <c r="G13" t="inlineStr">
        <is>
          <t>Tractoare LS</t>
        </is>
      </c>
    </row>
    <row r="14">
      <c r="A14">
        <f>'Lista de prețuri'!C20</f>
        <v/>
      </c>
      <c r="B14" t="inlineStr">
        <is>
          <t>https://ozonteh.net/product/tractor-plus100-ps-cab-non-eu/</t>
        </is>
      </c>
      <c r="C14">
        <f>IF(ISNUMBER('Lista de prețuri'!E20),'Lista de prețuri'!E20,IF(ISNUMBER('Lista de prețuri'!D20),'Lista de prețuri'!D20,"La cerere"))</f>
        <v/>
      </c>
      <c r="D14">
        <f>'Lista de prețuri'!D20</f>
        <v/>
      </c>
      <c r="E14">
        <f>IF(ISNUMBER('Lista de prețuri'!E20),'Lista de prețuri'!E20,"")</f>
        <v/>
      </c>
      <c r="F14" t="inlineStr">
        <is>
          <t>https://docs.google.com/spreadsheets/d/1Qv2gUR5E1nE5S1gYunl85P6-hxXHzd79zQlD6-xxqtA/edit?usp=sharing</t>
        </is>
      </c>
      <c r="G14" t="inlineStr">
        <is>
          <t>Tractoare LS</t>
        </is>
      </c>
    </row>
    <row r="15">
      <c r="A15">
        <f>'Lista de prețuri'!C21</f>
        <v/>
      </c>
      <c r="B15" t="inlineStr">
        <is>
          <t>https://ozonteh.net/product/tractor-mt7-101-ps-cab-stage-v/</t>
        </is>
      </c>
      <c r="C15">
        <f>IF(ISNUMBER('Lista de prețuri'!E21),'Lista de prețuri'!E21,IF(ISNUMBER('Lista de prețuri'!D21),'Lista de prețuri'!D21,"La cerere"))</f>
        <v/>
      </c>
      <c r="D15">
        <f>'Lista de prețuri'!D21</f>
        <v/>
      </c>
      <c r="E15">
        <f>IF(ISNUMBER('Lista de prețuri'!E21),'Lista de prețuri'!E21,"")</f>
        <v/>
      </c>
      <c r="F15" t="inlineStr">
        <is>
          <t>https://docs.google.com/spreadsheets/d/13ONqTTmR2Zf62s0kyweH4SfRjlmGvEhxF_iVzY8fJRk/edit?usp=sharing</t>
        </is>
      </c>
      <c r="G15" t="inlineStr">
        <is>
          <t>Tractoare LS</t>
        </is>
      </c>
    </row>
    <row r="16">
      <c r="A16">
        <f>'Lista de prețuri'!C23</f>
        <v/>
      </c>
      <c r="B16" t="inlineStr">
        <is>
          <t>https://ozonteh.net/product/set-farmtrac-26-promotia-care-chiar-are-sens/</t>
        </is>
      </c>
      <c r="C16">
        <f>IF(ISNUMBER('Lista de prețuri'!E23),'Lista de prețuri'!E23,IF(ISNUMBER('Lista de prețuri'!D23),'Lista de prețuri'!D23,"La cerere"))</f>
        <v/>
      </c>
      <c r="D16">
        <f>'Lista de prețuri'!D23</f>
        <v/>
      </c>
      <c r="E16">
        <f>IF(ISNUMBER('Lista de prețuri'!E23),'Lista de prețuri'!E23,"")</f>
        <v/>
      </c>
      <c r="F16" t="inlineStr">
        <is>
          <t>https://docs.google.com/spreadsheets/d/1qgzd4LLxUb_mJYK4Avn5HDe5M2oDXh6Ixm5YlLvRCPE/edit?gid=1986360129</t>
        </is>
      </c>
      <c r="G16" t="inlineStr">
        <is>
          <t>Tractoare Farmtrac</t>
        </is>
      </c>
    </row>
    <row r="17">
      <c r="A17">
        <f>'Lista de prețuri'!C24</f>
        <v/>
      </c>
      <c r="B17" t="inlineStr">
        <is>
          <t>https://ozonteh.net/product/tractor-farmtrac-26-4wd/</t>
        </is>
      </c>
      <c r="C17">
        <f>IF(ISNUMBER('Lista de prețuri'!E24),'Lista de prețuri'!E24,IF(ISNUMBER('Lista de prețuri'!D24),'Lista de prețuri'!D24,"La cerere"))</f>
        <v/>
      </c>
      <c r="D17">
        <f>'Lista de prețuri'!D24</f>
        <v/>
      </c>
      <c r="E17">
        <f>IF(ISNUMBER('Lista de prețuri'!E24),'Lista de prețuri'!E24,"")</f>
        <v/>
      </c>
      <c r="F17" t="inlineStr">
        <is>
          <t>https://docs.google.com/spreadsheets/d/11UuSQ0REVekn9_O4LlbyYdEGM0jkslyzGYzYWcpKCsA/edit?usp=sharing</t>
        </is>
      </c>
      <c r="G17" t="inlineStr">
        <is>
          <t>Tractoare Farmtrac</t>
        </is>
      </c>
    </row>
    <row r="18">
      <c r="A18">
        <f>'Lista de prețuri'!C25</f>
        <v/>
      </c>
      <c r="B18" t="inlineStr">
        <is>
          <t>https://ozonteh.net/product/tractor-farmtrac-26-pro-4wd/</t>
        </is>
      </c>
      <c r="C18">
        <f>IF(ISNUMBER('Lista de prețuri'!E25),'Lista de prețuri'!E25,IF(ISNUMBER('Lista de prețuri'!D25),'Lista de prețuri'!D25,"La cerere"))</f>
        <v/>
      </c>
      <c r="D18">
        <f>'Lista de prețuri'!D25</f>
        <v/>
      </c>
      <c r="E18">
        <f>IF(ISNUMBER('Lista de prețuri'!E25),'Lista de prețuri'!E25,"")</f>
        <v/>
      </c>
      <c r="F18" t="inlineStr">
        <is>
          <t>https://docs.google.com/spreadsheets/d/12LTU5OOQ8vHRfnUO9tLrgQl6ZonRziPy30TP1tS44EA/edit?usp=sharing</t>
        </is>
      </c>
      <c r="G18" t="inlineStr">
        <is>
          <t>Tractoare Farmtrac</t>
        </is>
      </c>
    </row>
    <row r="19">
      <c r="A19">
        <f>'Lista de prețuri'!C26</f>
        <v/>
      </c>
      <c r="B19" t="inlineStr">
        <is>
          <t>https://ozonteh.net/product/tractor-farmtrac-30-4wd/</t>
        </is>
      </c>
      <c r="C19">
        <f>IF(ISNUMBER('Lista de prețuri'!E26),'Lista de prețuri'!E26,IF(ISNUMBER('Lista de prețuri'!D26),'Lista de prețuri'!D26,"La cerere"))</f>
        <v/>
      </c>
      <c r="D19">
        <f>'Lista de prețuri'!D26</f>
        <v/>
      </c>
      <c r="E19">
        <f>IF(ISNUMBER('Lista de prețuri'!E26),'Lista de prețuri'!E26,"")</f>
        <v/>
      </c>
      <c r="F19" t="inlineStr">
        <is>
          <t>https://docs.google.com/spreadsheets/d/1c1YdjDr0M2tUXUIhzRnrKfFuJ61_XafDvtS-C4Qv7QE/edit?usp=sharing</t>
        </is>
      </c>
      <c r="G19" t="inlineStr">
        <is>
          <t>Tractoare Farmtrac</t>
        </is>
      </c>
    </row>
    <row r="20">
      <c r="A20">
        <f>'Lista de prețuri'!C27</f>
        <v/>
      </c>
      <c r="B20" t="inlineStr">
        <is>
          <t>https://ozonteh.net/product/tractor-farmtrac-35-4wd/</t>
        </is>
      </c>
      <c r="C20">
        <f>IF(ISNUMBER('Lista de prețuri'!E27),'Lista de prețuri'!E27,IF(ISNUMBER('Lista de prețuri'!D27),'Lista de prețuri'!D27,"La cerere"))</f>
        <v/>
      </c>
      <c r="D20">
        <f>'Lista de prețuri'!D27</f>
        <v/>
      </c>
      <c r="E20">
        <f>IF(ISNUMBER('Lista de prețuri'!E27),'Lista de prețuri'!E27,"")</f>
        <v/>
      </c>
      <c r="F20" t="inlineStr">
        <is>
          <t>https://docs.google.com/spreadsheets/d/17D9ucKOf7YvtwIilnGCYHrFhmblyTEC9WuvuhxU2qaw/edit?usp=sharing</t>
        </is>
      </c>
      <c r="G20" t="inlineStr">
        <is>
          <t>Tractoare Farmtrac</t>
        </is>
      </c>
    </row>
    <row r="21">
      <c r="A21">
        <f>'Lista de prețuri'!C28</f>
        <v/>
      </c>
      <c r="B21" t="inlineStr">
        <is>
          <t>https://ozonteh.net/product/tractor-farmtrac-35-4wd-revers/</t>
        </is>
      </c>
      <c r="C21">
        <f>IF(ISNUMBER('Lista de prețuri'!E28),'Lista de prețuri'!E28,IF(ISNUMBER('Lista de prețuri'!D28),'Lista de prețuri'!D28,"La cerere"))</f>
        <v/>
      </c>
      <c r="D21">
        <f>'Lista de prețuri'!D28</f>
        <v/>
      </c>
      <c r="E21">
        <f>IF(ISNUMBER('Lista de prețuri'!E28),'Lista de prețuri'!E28,"")</f>
        <v/>
      </c>
      <c r="F21" t="inlineStr">
        <is>
          <t>https://docs.google.com/spreadsheets/d/1SvNzZs4N9PmHaDlwd44zFnET_MhjuFZelr8VZJU9VTY/edit?usp=sharing</t>
        </is>
      </c>
      <c r="G21" t="inlineStr">
        <is>
          <t>Tractoare Farmtrac</t>
        </is>
      </c>
    </row>
    <row r="22">
      <c r="A22">
        <f>'Lista de prețuri'!C29</f>
        <v/>
      </c>
      <c r="B22" t="inlineStr">
        <is>
          <t>https://ozonteh.net/product/tractor-farmtrac-6075n-4wd/</t>
        </is>
      </c>
      <c r="C22">
        <f>IF(ISNUMBER('Lista de prețuri'!E29),'Lista de prețuri'!E29,IF(ISNUMBER('Lista de prețuri'!D29),'Lista de prețuri'!D29,"La cerere"))</f>
        <v/>
      </c>
      <c r="D22">
        <f>'Lista de prețuri'!D29</f>
        <v/>
      </c>
      <c r="E22">
        <f>IF(ISNUMBER('Lista de prețuri'!E29),'Lista de prețuri'!E29,"")</f>
        <v/>
      </c>
      <c r="F22" t="inlineStr">
        <is>
          <t>https://docs.google.com/spreadsheets/d/1IUb9-49zi2UGRtt_OIpBtQsSyXH6hq-hNDmekiqXxak/edit?usp=sharing</t>
        </is>
      </c>
      <c r="G22" t="inlineStr">
        <is>
          <t>Tractoare Farmtrac</t>
        </is>
      </c>
    </row>
    <row r="23">
      <c r="A23">
        <f>'Lista de prețuri'!C30</f>
        <v/>
      </c>
      <c r="B23" t="inlineStr">
        <is>
          <t>https://ozonteh.net/product/tractor-farmtrac-6075n-4wd-cabina/</t>
        </is>
      </c>
      <c r="C23">
        <f>IF(ISNUMBER('Lista de prețuri'!E30),'Lista de prețuri'!E30,IF(ISNUMBER('Lista de prețuri'!D30),'Lista de prețuri'!D30,"La cerere"))</f>
        <v/>
      </c>
      <c r="D23">
        <f>'Lista de prețuri'!D30</f>
        <v/>
      </c>
      <c r="E23">
        <f>IF(ISNUMBER('Lista de prețuri'!E30),'Lista de prețuri'!E30,"")</f>
        <v/>
      </c>
      <c r="F23" t="inlineStr">
        <is>
          <t>https://docs.google.com/spreadsheets/d/1osJx0Bfkq65Q9UPr31FDNk9tMTXILP38nSmSWw1goVo/edit?usp=sharing</t>
        </is>
      </c>
      <c r="G23" t="inlineStr">
        <is>
          <t>Tractoare Farmtrac</t>
        </is>
      </c>
    </row>
    <row r="24">
      <c r="A24">
        <f>'Lista de prețuri'!C32</f>
        <v/>
      </c>
      <c r="C24">
        <f>IF(ISNUMBER('Lista de prețuri'!E32),'Lista de prețuri'!E32,IF(ISNUMBER('Lista de prețuri'!D32),'Lista de prețuri'!D32,"La cerere"))</f>
        <v/>
      </c>
      <c r="D24">
        <f>'Lista de prețuri'!D32</f>
        <v/>
      </c>
      <c r="E24">
        <f>IF(ISNUMBER('Lista de prețuri'!E32),'Lista de prețuri'!E32,"")</f>
        <v/>
      </c>
      <c r="F24" t="inlineStr">
        <is>
          <t>https://docs.google.com/spreadsheets/d/1OiH8iDBGS1VNKeqDaFMpkKoDRtddIwlhEZLTiaH8xgI/edit?usp=sharing</t>
        </is>
      </c>
      <c r="G24" t="inlineStr">
        <is>
          <t>Tractoare Antonio Carraro</t>
        </is>
      </c>
    </row>
    <row r="25">
      <c r="A25">
        <f>'Lista de prețuri'!C33</f>
        <v/>
      </c>
      <c r="C25">
        <f>IF(ISNUMBER('Lista de prețuri'!E33),'Lista de prețuri'!E33,IF(ISNUMBER('Lista de prețuri'!D33),'Lista de prețuri'!D33,"La cerere"))</f>
        <v/>
      </c>
      <c r="D25">
        <f>'Lista de prețuri'!D33</f>
        <v/>
      </c>
      <c r="E25">
        <f>IF(ISNUMBER('Lista de prețuri'!E33),'Lista de prețuri'!E33,"")</f>
        <v/>
      </c>
      <c r="F25" t="inlineStr">
        <is>
          <t>https://docs.google.com/spreadsheets/d/1mp_bwI_tNSfqdDCM9C2kj7ydddWlJOtoKzydAnFkAcY/edit?usp=sharing</t>
        </is>
      </c>
      <c r="G25" t="inlineStr">
        <is>
          <t>Tractoare Antonio Carraro</t>
        </is>
      </c>
    </row>
    <row r="26">
      <c r="A26">
        <f>'Lista de prețuri'!C34</f>
        <v/>
      </c>
      <c r="B26" t="inlineStr">
        <is>
          <t>https://ozonteh.net/product/tractor-antonio-carraro-trg-9900/</t>
        </is>
      </c>
      <c r="C26">
        <f>IF(ISNUMBER('Lista de prețuri'!E34),'Lista de prețuri'!E34,IF(ISNUMBER('Lista de prețuri'!D34),'Lista de prețuri'!D34,"La cerere"))</f>
        <v/>
      </c>
      <c r="D26">
        <f>'Lista de prețuri'!D34</f>
        <v/>
      </c>
      <c r="E26">
        <f>IF(ISNUMBER('Lista de prețuri'!E34),'Lista de prețuri'!E34,"")</f>
        <v/>
      </c>
      <c r="F26" t="inlineStr">
        <is>
          <t>https://docs.google.com/spreadsheets/d/1ho6jccWImpWFiPzRaBn8gBwQGq5JYORdnChAPFiNxhs/edit?usp=sharing</t>
        </is>
      </c>
      <c r="G26" t="inlineStr">
        <is>
          <t>Tractoare Antonio Carraro</t>
        </is>
      </c>
    </row>
    <row r="27">
      <c r="A27">
        <f>'Lista de prețuri'!C36</f>
        <v/>
      </c>
      <c r="B27" t="inlineStr">
        <is>
          <t>https://ozonteh.net/product/tractor-solis-s16/</t>
        </is>
      </c>
      <c r="C27">
        <f>IF(ISNUMBER('Lista de prețuri'!E36),'Lista de prețuri'!E36,IF(ISNUMBER('Lista de prețuri'!D36),'Lista de prețuri'!D36,"La cerere"))</f>
        <v/>
      </c>
      <c r="D27">
        <f>'Lista de prețuri'!D36</f>
        <v/>
      </c>
      <c r="E27">
        <f>IF(ISNUMBER('Lista de prețuri'!E36),'Lista de prețuri'!E36,"")</f>
        <v/>
      </c>
      <c r="F27" t="inlineStr">
        <is>
          <t>https://docs.google.com/spreadsheets/d/14ya2mz7gp8VJtFAB6bhWPSTccHxVuvoZamD9d_GWTcg/edit?usp=sharing</t>
        </is>
      </c>
      <c r="G27" t="inlineStr">
        <is>
          <t>Tractoare Solis</t>
        </is>
      </c>
    </row>
    <row r="28">
      <c r="A28">
        <f>'Lista de prețuri'!C37</f>
        <v/>
      </c>
      <c r="B28" t="inlineStr">
        <is>
          <t>https://ozonteh.net/product/tractor-solis-s26/</t>
        </is>
      </c>
      <c r="C28">
        <f>IF(ISNUMBER('Lista de prețuri'!E37),'Lista de prețuri'!E37,IF(ISNUMBER('Lista de prețuri'!D37),'Lista de prețuri'!D37,"La cerere"))</f>
        <v/>
      </c>
      <c r="D28">
        <f>'Lista de prețuri'!D37</f>
        <v/>
      </c>
      <c r="E28">
        <f>IF(ISNUMBER('Lista de prețuri'!E37),'Lista de prețuri'!E37,"")</f>
        <v/>
      </c>
      <c r="F28" t="inlineStr">
        <is>
          <t>https://docs.google.com/spreadsheets/d/1XZr3NPhTBdEjyPlSGhdTbu_IpugbQXk408HnlXCjWVI/edit?usp=sharing</t>
        </is>
      </c>
      <c r="G28" t="inlineStr">
        <is>
          <t>Tractoare Solis</t>
        </is>
      </c>
    </row>
    <row r="29">
      <c r="A29">
        <f>'Lista de prețuri'!C38</f>
        <v/>
      </c>
      <c r="B29" t="inlineStr">
        <is>
          <t>https://ozonteh.net/product/tractor-solis-s26-extra/</t>
        </is>
      </c>
      <c r="C29">
        <f>IF(ISNUMBER('Lista de prețuri'!E38),'Lista de prețuri'!E38,IF(ISNUMBER('Lista de prețuri'!D38),'Lista de prețuri'!D38,"La cerere"))</f>
        <v/>
      </c>
      <c r="D29">
        <f>'Lista de prețuri'!D38</f>
        <v/>
      </c>
      <c r="E29">
        <f>IF(ISNUMBER('Lista de prețuri'!E38),'Lista de prețuri'!E38,"")</f>
        <v/>
      </c>
      <c r="F29" t="inlineStr">
        <is>
          <t>https://docs.google.com/spreadsheets/d/1EbF-n6IP4V1LgoAw5lqCzOsmcEABbfXo9aSioJJSEik/edit?usp=sharing</t>
        </is>
      </c>
      <c r="G29" t="inlineStr">
        <is>
          <t>Tractoare Solis</t>
        </is>
      </c>
    </row>
    <row r="30">
      <c r="A30">
        <f>'Lista de prețuri'!C39</f>
        <v/>
      </c>
      <c r="B30" t="inlineStr">
        <is>
          <t>https://ozonteh.net/product/tractor-solis-s26-shuttle-xl/</t>
        </is>
      </c>
      <c r="C30">
        <f>IF(ISNUMBER('Lista de prețuri'!E39),'Lista de prețuri'!E39,IF(ISNUMBER('Lista de prețuri'!D39),'Lista de prețuri'!D39,"La cerere"))</f>
        <v/>
      </c>
      <c r="D30">
        <f>'Lista de prețuri'!D39</f>
        <v/>
      </c>
      <c r="E30">
        <f>IF(ISNUMBER('Lista de prețuri'!E39),'Lista de prețuri'!E39,"")</f>
        <v/>
      </c>
      <c r="F30" t="inlineStr">
        <is>
          <t>https://docs.google.com/spreadsheets/d/1Xto9qKPfwfMONUAIAX9y-9dh5JDfYThy33vgktdgAoU/edit?usp=sharing</t>
        </is>
      </c>
      <c r="G30" t="inlineStr">
        <is>
          <t>Tractoare Solis</t>
        </is>
      </c>
    </row>
    <row r="31">
      <c r="A31">
        <f>'Lista de prețuri'!C40</f>
        <v/>
      </c>
      <c r="B31" t="inlineStr">
        <is>
          <t>https://ozonteh.net/product/tractor-solis-s30/</t>
        </is>
      </c>
      <c r="C31">
        <f>IF(ISNUMBER('Lista de prețuri'!E40),'Lista de prețuri'!E40,IF(ISNUMBER('Lista de prețuri'!D40),'Lista de prețuri'!D40,"La cerere"))</f>
        <v/>
      </c>
      <c r="D31">
        <f>'Lista de prețuri'!D40</f>
        <v/>
      </c>
      <c r="E31">
        <f>IF(ISNUMBER('Lista de prețuri'!E40),'Lista de prețuri'!E40,"")</f>
        <v/>
      </c>
      <c r="F31" t="inlineStr">
        <is>
          <t>https://docs.google.com/spreadsheets/d/1N2nn0zaUJx3Pk72dX0B_dhG40wPfpD4WmGWUpmg5KBE/edit?usp=sharing</t>
        </is>
      </c>
      <c r="G31" t="inlineStr">
        <is>
          <t>Tractoare Solis</t>
        </is>
      </c>
    </row>
    <row r="32">
      <c r="A32">
        <f>'Lista de prețuri'!C41</f>
        <v/>
      </c>
      <c r="B32" t="inlineStr">
        <is>
          <t>https://ozonteh.net/product/tractor-solis-s32/</t>
        </is>
      </c>
      <c r="C32">
        <f>IF(ISNUMBER('Lista de prețuri'!E41),'Lista de prețuri'!E41,IF(ISNUMBER('Lista de prețuri'!D41),'Lista de prețuri'!D41,"La cerere"))</f>
        <v/>
      </c>
      <c r="D32">
        <f>'Lista de prețuri'!D41</f>
        <v/>
      </c>
      <c r="E32">
        <f>IF(ISNUMBER('Lista de prețuri'!E41),'Lista de prețuri'!E41,"")</f>
        <v/>
      </c>
      <c r="F32" t="inlineStr">
        <is>
          <t>https://docs.google.com/spreadsheets/d/1xxVx9Ko6C-ytFDG3tAnjsR0YajCrOvVoS7NK8PVJcoc/edit?usp=sharing</t>
        </is>
      </c>
      <c r="G32" t="inlineStr">
        <is>
          <t>Tractoare Solis</t>
        </is>
      </c>
    </row>
    <row r="33">
      <c r="A33">
        <f>'Lista de prețuri'!C42</f>
        <v/>
      </c>
      <c r="B33" t="inlineStr">
        <is>
          <t>https://ozonteh.net/product/tractor-solis-90n/</t>
        </is>
      </c>
      <c r="C33">
        <f>IF(ISNUMBER('Lista de prețuri'!E42),'Lista de prețuri'!E42,IF(ISNUMBER('Lista de prețuri'!D42),'Lista de prețuri'!D42,"La cerere"))</f>
        <v/>
      </c>
      <c r="D33">
        <f>'Lista de prețuri'!D42</f>
        <v/>
      </c>
      <c r="E33">
        <f>IF(ISNUMBER('Lista de prețuri'!E42),'Lista de prețuri'!E42,"")</f>
        <v/>
      </c>
      <c r="F33" t="inlineStr">
        <is>
          <t>https://docs.google.com/spreadsheets/d/1hyt_2iQkL4oARzU_Ixa8ZIVfrL1Zfc3HH7Drmm26KBU/edit?usp=sharing</t>
        </is>
      </c>
      <c r="G33" t="inlineStr">
        <is>
          <t>Tractoare Solis</t>
        </is>
      </c>
    </row>
    <row r="34">
      <c r="A34">
        <f>'Lista de prețuri'!C43</f>
        <v/>
      </c>
      <c r="B34" t="inlineStr">
        <is>
          <t>https://ozonteh.net/product/tractor-solis-90rx/</t>
        </is>
      </c>
      <c r="C34">
        <f>IF(ISNUMBER('Lista de prețuri'!E43),'Lista de prețuri'!E43,IF(ISNUMBER('Lista de prețuri'!D43),'Lista de prețuri'!D43,"La cerere"))</f>
        <v/>
      </c>
      <c r="D34">
        <f>'Lista de prețuri'!D43</f>
        <v/>
      </c>
      <c r="E34">
        <f>IF(ISNUMBER('Lista de prețuri'!E43),'Lista de prețuri'!E43,"")</f>
        <v/>
      </c>
      <c r="F34" t="inlineStr">
        <is>
          <t>https://docs.google.com/spreadsheets/d/10h2WOGrFCXcbxJoBjbpbDlvyysu5tGFME1b1GT_Q_y4/edit?usp=sharing</t>
        </is>
      </c>
      <c r="G34" t="inlineStr">
        <is>
          <t>Tractoare Solis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2026-10-13T16:08:42Z</dcterms:created>
  <dcterms:modified xmlns:dcterms="http://purl.org/dc/terms/" xmlns:xsi="http://www.w3.org/2001/XMLSchema-instance" xsi:type="dcterms:W3CDTF">2026-10-13T16:08:43Z</dcterms:modified>
</cp:coreProperties>
</file>